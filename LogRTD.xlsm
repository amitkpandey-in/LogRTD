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14805" windowHeight="8010"/>
  </bookViews>
  <sheets>
    <sheet name="Market_Watch" sheetId="8" r:id="rId1"/>
    <sheet name="Field_List" sheetId="11" r:id="rId2"/>
    <sheet name="Known_Issue_In_Pi" sheetId="12" r:id="rId3"/>
  </sheets>
  <functionGroups/>
  <definedNames>
    <definedName name="Exch_List">Field_List!$G$2:$G$7</definedName>
    <definedName name="Field">Market_Watch!$C$3</definedName>
    <definedName name="Field_List">Field_List!$B$2:$B$4</definedName>
    <definedName name="Field_List_Nest">Field_List!$D$2:$D$16</definedName>
    <definedName name="Field_List_Now">Field_List!$E$2:$E$16</definedName>
    <definedName name="Field_List_Pi">Field_List!$C$2:$C$16</definedName>
    <definedName name="Field_List_Table">Field_List!$B$2:$E$16</definedName>
    <definedName name="RevExch_Table">Field_List!$G$2:$J$7</definedName>
    <definedName name="Rtd_Server">Market_Watch!$D$3</definedName>
    <definedName name="Seperator">Market_Watch!$D$4</definedName>
    <definedName name="Seperator_table">Field_List!$M$2:$N$4</definedName>
    <definedName name="StrField">Market_Watch!$D$5</definedName>
    <definedName name="StrFieldATP">Market_Watch!$D$6</definedName>
    <definedName name="StrFieldOI">Market_Watch!$D$8</definedName>
    <definedName name="StrFieldVol">Market_Watch!$D$7</definedName>
    <definedName name="Terminal">Market_Watch!$C$2</definedName>
    <definedName name="Terminal_List">Field_List!$M$2:$M$4</definedName>
  </definedNames>
  <calcPr calcId="124519"/>
</workbook>
</file>

<file path=xl/calcChain.xml><?xml version="1.0" encoding="utf-8"?>
<calcChain xmlns="http://schemas.openxmlformats.org/spreadsheetml/2006/main">
  <c r="O3" i="8"/>
  <c r="O4"/>
  <c r="P4"/>
  <c r="O5"/>
  <c r="P5"/>
  <c r="O6"/>
  <c r="P6"/>
  <c r="O7"/>
  <c r="P7"/>
  <c r="O8"/>
  <c r="P8"/>
  <c r="O9"/>
  <c r="P9"/>
  <c r="O10"/>
  <c r="P10"/>
  <c r="O11"/>
  <c r="P11"/>
  <c r="O12"/>
  <c r="P12"/>
  <c r="O13"/>
  <c r="P13"/>
  <c r="O14"/>
  <c r="P14"/>
  <c r="O15"/>
  <c r="P15"/>
  <c r="O16"/>
  <c r="P16"/>
  <c r="O17"/>
  <c r="P17"/>
  <c r="O18"/>
  <c r="P18"/>
  <c r="O19"/>
  <c r="P19"/>
  <c r="O20"/>
  <c r="P20"/>
  <c r="O21"/>
  <c r="P21"/>
  <c r="O22"/>
  <c r="P22"/>
  <c r="O23"/>
  <c r="P23"/>
  <c r="O24"/>
  <c r="P24"/>
  <c r="O25"/>
  <c r="P25"/>
  <c r="O26"/>
  <c r="P26"/>
  <c r="O27"/>
  <c r="P27"/>
  <c r="O28"/>
  <c r="P28"/>
  <c r="O29"/>
  <c r="P29"/>
  <c r="O30"/>
  <c r="P30"/>
  <c r="O31"/>
  <c r="P31"/>
  <c r="O32"/>
  <c r="P32"/>
  <c r="O33"/>
  <c r="P33"/>
  <c r="O34"/>
  <c r="P34"/>
  <c r="O35"/>
  <c r="P35"/>
  <c r="O36"/>
  <c r="P36"/>
  <c r="O37"/>
  <c r="P37"/>
  <c r="O38"/>
  <c r="P38"/>
  <c r="O39"/>
  <c r="P39"/>
  <c r="O40"/>
  <c r="P40"/>
  <c r="O41"/>
  <c r="P41"/>
  <c r="O42"/>
  <c r="P42"/>
  <c r="O43"/>
  <c r="P43"/>
  <c r="O44"/>
  <c r="P44"/>
  <c r="O45"/>
  <c r="P45"/>
  <c r="O46"/>
  <c r="P46"/>
  <c r="O47"/>
  <c r="P47"/>
  <c r="O48"/>
  <c r="P48"/>
  <c r="O49"/>
  <c r="P49"/>
  <c r="O50"/>
  <c r="P50"/>
  <c r="O51"/>
  <c r="P51"/>
  <c r="O52"/>
  <c r="P52"/>
  <c r="O53"/>
  <c r="P53"/>
  <c r="O54"/>
  <c r="P54"/>
  <c r="O55"/>
  <c r="P55"/>
  <c r="O56"/>
  <c r="P56"/>
  <c r="O57"/>
  <c r="P57"/>
  <c r="O58"/>
  <c r="P58"/>
  <c r="O59"/>
  <c r="P59"/>
  <c r="O60"/>
  <c r="P60"/>
  <c r="O61"/>
  <c r="P61"/>
  <c r="O62"/>
  <c r="P62"/>
  <c r="O63"/>
  <c r="P63"/>
  <c r="O64"/>
  <c r="P64"/>
  <c r="O65"/>
  <c r="P65"/>
  <c r="O66"/>
  <c r="P66"/>
  <c r="O67"/>
  <c r="P67"/>
  <c r="O68"/>
  <c r="P68"/>
  <c r="O69"/>
  <c r="P69"/>
  <c r="O70"/>
  <c r="P70"/>
  <c r="O71"/>
  <c r="P71"/>
  <c r="O72"/>
  <c r="P72"/>
  <c r="O73"/>
  <c r="P73"/>
  <c r="O74"/>
  <c r="P74"/>
  <c r="O75"/>
  <c r="P75"/>
  <c r="O76"/>
  <c r="P76"/>
  <c r="O77"/>
  <c r="P77"/>
  <c r="O78"/>
  <c r="P78"/>
  <c r="O79"/>
  <c r="P79"/>
  <c r="O80"/>
  <c r="P80"/>
  <c r="O81"/>
  <c r="P81"/>
  <c r="O82"/>
  <c r="P82"/>
  <c r="O83"/>
  <c r="P83"/>
  <c r="O84"/>
  <c r="P84"/>
  <c r="O85"/>
  <c r="P85"/>
  <c r="O86"/>
  <c r="P86"/>
  <c r="O87"/>
  <c r="P87"/>
  <c r="O88"/>
  <c r="P88"/>
  <c r="O89"/>
  <c r="P89"/>
  <c r="O90"/>
  <c r="P90"/>
  <c r="O91"/>
  <c r="P91"/>
  <c r="O92"/>
  <c r="P92"/>
  <c r="O93"/>
  <c r="P93"/>
  <c r="O94"/>
  <c r="P94"/>
  <c r="O95"/>
  <c r="P95"/>
  <c r="O96"/>
  <c r="P96"/>
  <c r="O97"/>
  <c r="P97"/>
  <c r="O98"/>
  <c r="P98"/>
  <c r="O99"/>
  <c r="P99"/>
  <c r="O100"/>
  <c r="P100"/>
  <c r="O101"/>
  <c r="P101"/>
  <c r="O102"/>
  <c r="P102"/>
  <c r="O103"/>
  <c r="P103"/>
  <c r="O104"/>
  <c r="P104"/>
  <c r="O105"/>
  <c r="P105"/>
  <c r="O106"/>
  <c r="P106"/>
  <c r="O107"/>
  <c r="P107"/>
  <c r="O108"/>
  <c r="P108"/>
  <c r="O109"/>
  <c r="P109"/>
  <c r="O110"/>
  <c r="P110"/>
  <c r="O111"/>
  <c r="P111"/>
  <c r="O112"/>
  <c r="P112"/>
  <c r="O113"/>
  <c r="P113"/>
  <c r="O114"/>
  <c r="P114"/>
  <c r="O115"/>
  <c r="P115"/>
  <c r="O116"/>
  <c r="P116"/>
  <c r="O117"/>
  <c r="P117"/>
  <c r="O118"/>
  <c r="P118"/>
  <c r="O119"/>
  <c r="P119"/>
  <c r="O120"/>
  <c r="P120"/>
  <c r="O121"/>
  <c r="P121"/>
  <c r="O122"/>
  <c r="P122"/>
  <c r="O123"/>
  <c r="P123"/>
  <c r="O124"/>
  <c r="P124"/>
  <c r="O125"/>
  <c r="P125"/>
  <c r="O126"/>
  <c r="P126"/>
  <c r="O127"/>
  <c r="P127"/>
  <c r="O128"/>
  <c r="P128"/>
  <c r="O129"/>
  <c r="P129"/>
  <c r="O130"/>
  <c r="P130"/>
  <c r="O131"/>
  <c r="P131"/>
  <c r="O132"/>
  <c r="P132"/>
  <c r="O133"/>
  <c r="P133"/>
  <c r="O134"/>
  <c r="P134"/>
  <c r="O135"/>
  <c r="P135"/>
  <c r="O136"/>
  <c r="P136"/>
  <c r="O137"/>
  <c r="P137"/>
  <c r="O138"/>
  <c r="P138"/>
  <c r="O139"/>
  <c r="P139"/>
  <c r="O140"/>
  <c r="P140"/>
  <c r="O141"/>
  <c r="P141"/>
  <c r="O142"/>
  <c r="P142"/>
  <c r="O143"/>
  <c r="P143"/>
  <c r="O144"/>
  <c r="P144"/>
  <c r="O145"/>
  <c r="P145"/>
  <c r="O146"/>
  <c r="P146"/>
  <c r="O147"/>
  <c r="P147"/>
  <c r="O148"/>
  <c r="P148"/>
  <c r="O149"/>
  <c r="P149"/>
  <c r="O150"/>
  <c r="P150"/>
  <c r="O151"/>
  <c r="P151"/>
  <c r="O152"/>
  <c r="P152"/>
  <c r="O153"/>
  <c r="P153"/>
  <c r="O154"/>
  <c r="P154"/>
  <c r="O155"/>
  <c r="P155"/>
  <c r="O156"/>
  <c r="P156"/>
  <c r="O157"/>
  <c r="P157"/>
  <c r="O158"/>
  <c r="P158"/>
  <c r="O159"/>
  <c r="P159"/>
  <c r="O160"/>
  <c r="P160"/>
  <c r="O161"/>
  <c r="P161"/>
  <c r="O162"/>
  <c r="P162"/>
  <c r="O163"/>
  <c r="P163"/>
  <c r="O164"/>
  <c r="P164"/>
  <c r="O165"/>
  <c r="P165"/>
  <c r="O166"/>
  <c r="P166"/>
  <c r="O167"/>
  <c r="P167"/>
  <c r="O168"/>
  <c r="P168"/>
  <c r="O169"/>
  <c r="P169"/>
  <c r="O170"/>
  <c r="P170"/>
  <c r="O171"/>
  <c r="P171"/>
  <c r="O172"/>
  <c r="P172"/>
  <c r="O173"/>
  <c r="P173"/>
  <c r="O174"/>
  <c r="P174"/>
  <c r="O175"/>
  <c r="P175"/>
  <c r="O176"/>
  <c r="P176"/>
  <c r="O177"/>
  <c r="P177"/>
  <c r="O178"/>
  <c r="P178"/>
  <c r="O179"/>
  <c r="P179"/>
  <c r="O180"/>
  <c r="P180"/>
  <c r="O181"/>
  <c r="P181"/>
  <c r="O182"/>
  <c r="P182"/>
  <c r="O183"/>
  <c r="P183"/>
  <c r="O184"/>
  <c r="P184"/>
  <c r="O185"/>
  <c r="P185"/>
  <c r="O186"/>
  <c r="P186"/>
  <c r="O187"/>
  <c r="P187"/>
  <c r="O188"/>
  <c r="P188"/>
  <c r="O189"/>
  <c r="P189"/>
  <c r="O190"/>
  <c r="P190"/>
  <c r="O191"/>
  <c r="P191"/>
  <c r="O192"/>
  <c r="P192"/>
  <c r="O193"/>
  <c r="P193"/>
  <c r="O194"/>
  <c r="P194"/>
  <c r="O195"/>
  <c r="P195"/>
  <c r="O196"/>
  <c r="P196"/>
  <c r="O197"/>
  <c r="P197"/>
  <c r="O198"/>
  <c r="P198"/>
  <c r="O199"/>
  <c r="P199"/>
  <c r="O200"/>
  <c r="P200"/>
  <c r="O201"/>
  <c r="P201"/>
  <c r="H1" l="1"/>
  <c r="D8"/>
  <c r="D7"/>
  <c r="D6"/>
  <c r="D5"/>
  <c r="O2" l="1"/>
  <c r="D4"/>
  <c r="P3" s="1"/>
  <c r="D3"/>
  <c r="D2"/>
  <c r="P2" l="1"/>
  <c r="I5"/>
  <c r="I7"/>
  <c r="I9"/>
  <c r="I11"/>
  <c r="I13"/>
  <c r="I15"/>
  <c r="I17"/>
  <c r="I19"/>
  <c r="I21"/>
  <c r="I23"/>
  <c r="I25"/>
  <c r="I27"/>
  <c r="I29"/>
  <c r="I31"/>
  <c r="I33"/>
  <c r="I35"/>
  <c r="I37"/>
  <c r="I39"/>
  <c r="I41"/>
  <c r="I43"/>
  <c r="I45"/>
  <c r="I47"/>
  <c r="I49"/>
  <c r="I51"/>
  <c r="I53"/>
  <c r="I55"/>
  <c r="I57"/>
  <c r="I59"/>
  <c r="I61"/>
  <c r="I63"/>
  <c r="I65"/>
  <c r="I67"/>
  <c r="I69"/>
  <c r="I71"/>
  <c r="I73"/>
  <c r="I75"/>
  <c r="I77"/>
  <c r="I79"/>
  <c r="I81"/>
  <c r="I83"/>
  <c r="I85"/>
  <c r="I87"/>
  <c r="I89"/>
  <c r="I91"/>
  <c r="I93"/>
  <c r="I95"/>
  <c r="I97"/>
  <c r="I99"/>
  <c r="I101"/>
  <c r="I103"/>
  <c r="I105"/>
  <c r="I107"/>
  <c r="I109"/>
  <c r="I111"/>
  <c r="I113"/>
  <c r="I115"/>
  <c r="I117"/>
  <c r="I119"/>
  <c r="I121"/>
  <c r="I123"/>
  <c r="I125"/>
  <c r="I127"/>
  <c r="I129"/>
  <c r="I131"/>
  <c r="I133"/>
  <c r="I135"/>
  <c r="I137"/>
  <c r="I139"/>
  <c r="I141"/>
  <c r="I143"/>
  <c r="I145"/>
  <c r="I147"/>
  <c r="I149"/>
  <c r="I151"/>
  <c r="I153"/>
  <c r="I155"/>
  <c r="I157"/>
  <c r="I159"/>
  <c r="I161"/>
  <c r="I163"/>
  <c r="I165"/>
  <c r="I167"/>
  <c r="I169"/>
  <c r="I171"/>
  <c r="I173"/>
  <c r="I175"/>
  <c r="I177"/>
  <c r="I179"/>
  <c r="I181"/>
  <c r="I183"/>
  <c r="I185"/>
  <c r="I187"/>
  <c r="I189"/>
  <c r="I191"/>
  <c r="I193"/>
  <c r="I195"/>
  <c r="I197"/>
  <c r="I199"/>
  <c r="I201"/>
  <c r="K5"/>
  <c r="K7"/>
  <c r="K9"/>
  <c r="K11"/>
  <c r="K13"/>
  <c r="K15"/>
  <c r="K17"/>
  <c r="K19"/>
  <c r="K21"/>
  <c r="K23"/>
  <c r="K25"/>
  <c r="K27"/>
  <c r="K29"/>
  <c r="K31"/>
  <c r="K33"/>
  <c r="K35"/>
  <c r="K37"/>
  <c r="K39"/>
  <c r="K41"/>
  <c r="K43"/>
  <c r="K45"/>
  <c r="K47"/>
  <c r="K49"/>
  <c r="K51"/>
  <c r="K53"/>
  <c r="K55"/>
  <c r="K57"/>
  <c r="K59"/>
  <c r="K61"/>
  <c r="K63"/>
  <c r="K65"/>
  <c r="K67"/>
  <c r="K69"/>
  <c r="K71"/>
  <c r="K73"/>
  <c r="K75"/>
  <c r="K77"/>
  <c r="K79"/>
  <c r="K81"/>
  <c r="K83"/>
  <c r="K85"/>
  <c r="K87"/>
  <c r="K89"/>
  <c r="K91"/>
  <c r="K93"/>
  <c r="K95"/>
  <c r="K97"/>
  <c r="K99"/>
  <c r="K101"/>
  <c r="K103"/>
  <c r="K105"/>
  <c r="K107"/>
  <c r="K109"/>
  <c r="K111"/>
  <c r="K113"/>
  <c r="K115"/>
  <c r="K117"/>
  <c r="K119"/>
  <c r="K121"/>
  <c r="K123"/>
  <c r="K125"/>
  <c r="K127"/>
  <c r="K129"/>
  <c r="K131"/>
  <c r="K133"/>
  <c r="K135"/>
  <c r="K137"/>
  <c r="K139"/>
  <c r="K141"/>
  <c r="K143"/>
  <c r="K145"/>
  <c r="K147"/>
  <c r="K149"/>
  <c r="K151"/>
  <c r="K153"/>
  <c r="K155"/>
  <c r="K157"/>
  <c r="K159"/>
  <c r="K161"/>
  <c r="K163"/>
  <c r="K165"/>
  <c r="I4"/>
  <c r="I6"/>
  <c r="I8"/>
  <c r="I10"/>
  <c r="I12"/>
  <c r="I14"/>
  <c r="I16"/>
  <c r="I18"/>
  <c r="I20"/>
  <c r="I22"/>
  <c r="I24"/>
  <c r="I26"/>
  <c r="I28"/>
  <c r="I30"/>
  <c r="I32"/>
  <c r="I34"/>
  <c r="I36"/>
  <c r="I38"/>
  <c r="I40"/>
  <c r="I42"/>
  <c r="I44"/>
  <c r="I46"/>
  <c r="I48"/>
  <c r="I50"/>
  <c r="I52"/>
  <c r="I54"/>
  <c r="I56"/>
  <c r="I58"/>
  <c r="I60"/>
  <c r="I62"/>
  <c r="I64"/>
  <c r="I66"/>
  <c r="I68"/>
  <c r="I70"/>
  <c r="I72"/>
  <c r="I74"/>
  <c r="I76"/>
  <c r="I78"/>
  <c r="I80"/>
  <c r="I82"/>
  <c r="I84"/>
  <c r="I86"/>
  <c r="I88"/>
  <c r="I90"/>
  <c r="I92"/>
  <c r="I94"/>
  <c r="I96"/>
  <c r="I98"/>
  <c r="I100"/>
  <c r="I102"/>
  <c r="I104"/>
  <c r="I106"/>
  <c r="I108"/>
  <c r="I110"/>
  <c r="I112"/>
  <c r="I114"/>
  <c r="I116"/>
  <c r="I118"/>
  <c r="I120"/>
  <c r="I122"/>
  <c r="I124"/>
  <c r="I126"/>
  <c r="I128"/>
  <c r="I130"/>
  <c r="I132"/>
  <c r="I134"/>
  <c r="I136"/>
  <c r="I138"/>
  <c r="I140"/>
  <c r="I142"/>
  <c r="I144"/>
  <c r="I146"/>
  <c r="I148"/>
  <c r="I150"/>
  <c r="I152"/>
  <c r="I154"/>
  <c r="I156"/>
  <c r="I158"/>
  <c r="I160"/>
  <c r="I162"/>
  <c r="I164"/>
  <c r="I166"/>
  <c r="I168"/>
  <c r="I170"/>
  <c r="I172"/>
  <c r="I174"/>
  <c r="I176"/>
  <c r="I178"/>
  <c r="I180"/>
  <c r="I182"/>
  <c r="I184"/>
  <c r="I186"/>
  <c r="I188"/>
  <c r="I190"/>
  <c r="I192"/>
  <c r="I194"/>
  <c r="I196"/>
  <c r="I198"/>
  <c r="I200"/>
  <c r="K4"/>
  <c r="K6"/>
  <c r="K8"/>
  <c r="K10"/>
  <c r="K12"/>
  <c r="K14"/>
  <c r="K16"/>
  <c r="K18"/>
  <c r="K20"/>
  <c r="K22"/>
  <c r="K24"/>
  <c r="K26"/>
  <c r="K28"/>
  <c r="K30"/>
  <c r="K32"/>
  <c r="K34"/>
  <c r="K36"/>
  <c r="K38"/>
  <c r="K40"/>
  <c r="K42"/>
  <c r="K44"/>
  <c r="K46"/>
  <c r="K48"/>
  <c r="K50"/>
  <c r="K52"/>
  <c r="K54"/>
  <c r="K56"/>
  <c r="K58"/>
  <c r="K60"/>
  <c r="K62"/>
  <c r="K64"/>
  <c r="K66"/>
  <c r="K68"/>
  <c r="K70"/>
  <c r="K72"/>
  <c r="K74"/>
  <c r="K76"/>
  <c r="K78"/>
  <c r="K80"/>
  <c r="K82"/>
  <c r="K84"/>
  <c r="K86"/>
  <c r="K88"/>
  <c r="K90"/>
  <c r="K92"/>
  <c r="K94"/>
  <c r="K96"/>
  <c r="K98"/>
  <c r="K100"/>
  <c r="K102"/>
  <c r="K104"/>
  <c r="K106"/>
  <c r="K108"/>
  <c r="K110"/>
  <c r="K112"/>
  <c r="K114"/>
  <c r="K116"/>
  <c r="K118"/>
  <c r="K120"/>
  <c r="K122"/>
  <c r="K124"/>
  <c r="K126"/>
  <c r="K128"/>
  <c r="K130"/>
  <c r="K132"/>
  <c r="K134"/>
  <c r="K136"/>
  <c r="K138"/>
  <c r="K140"/>
  <c r="K142"/>
  <c r="K144"/>
  <c r="K146"/>
  <c r="K148"/>
  <c r="K150"/>
  <c r="K152"/>
  <c r="K154"/>
  <c r="K156"/>
  <c r="K158"/>
  <c r="K160"/>
  <c r="K162"/>
  <c r="K164"/>
  <c r="K166"/>
  <c r="K168"/>
  <c r="K170"/>
  <c r="K172"/>
  <c r="K174"/>
  <c r="K176"/>
  <c r="K178"/>
  <c r="K180"/>
  <c r="K182"/>
  <c r="K184"/>
  <c r="K186"/>
  <c r="K188"/>
  <c r="K190"/>
  <c r="K192"/>
  <c r="K194"/>
  <c r="K196"/>
  <c r="K198"/>
  <c r="K200"/>
  <c r="J4"/>
  <c r="J6"/>
  <c r="J8"/>
  <c r="J10"/>
  <c r="J12"/>
  <c r="J14"/>
  <c r="J16"/>
  <c r="J18"/>
  <c r="J20"/>
  <c r="J22"/>
  <c r="J24"/>
  <c r="J26"/>
  <c r="J28"/>
  <c r="J30"/>
  <c r="J32"/>
  <c r="J34"/>
  <c r="J36"/>
  <c r="J38"/>
  <c r="J40"/>
  <c r="J42"/>
  <c r="J44"/>
  <c r="J46"/>
  <c r="J48"/>
  <c r="J50"/>
  <c r="J52"/>
  <c r="J54"/>
  <c r="J56"/>
  <c r="J58"/>
  <c r="J60"/>
  <c r="J62"/>
  <c r="J64"/>
  <c r="J66"/>
  <c r="J68"/>
  <c r="J70"/>
  <c r="J72"/>
  <c r="J74"/>
  <c r="J76"/>
  <c r="J78"/>
  <c r="J80"/>
  <c r="J82"/>
  <c r="J84"/>
  <c r="J86"/>
  <c r="J88"/>
  <c r="J90"/>
  <c r="J92"/>
  <c r="J94"/>
  <c r="J96"/>
  <c r="J98"/>
  <c r="J100"/>
  <c r="J102"/>
  <c r="J104"/>
  <c r="J106"/>
  <c r="J108"/>
  <c r="J110"/>
  <c r="J112"/>
  <c r="J114"/>
  <c r="J116"/>
  <c r="J118"/>
  <c r="K169"/>
  <c r="K173"/>
  <c r="K177"/>
  <c r="K181"/>
  <c r="K185"/>
  <c r="K189"/>
  <c r="K193"/>
  <c r="K197"/>
  <c r="K201"/>
  <c r="J7"/>
  <c r="J11"/>
  <c r="J15"/>
  <c r="J19"/>
  <c r="J23"/>
  <c r="J27"/>
  <c r="J31"/>
  <c r="J35"/>
  <c r="J39"/>
  <c r="J43"/>
  <c r="J47"/>
  <c r="J51"/>
  <c r="J55"/>
  <c r="J59"/>
  <c r="J63"/>
  <c r="J67"/>
  <c r="J71"/>
  <c r="J75"/>
  <c r="J79"/>
  <c r="J83"/>
  <c r="J87"/>
  <c r="J91"/>
  <c r="J95"/>
  <c r="J99"/>
  <c r="J103"/>
  <c r="J107"/>
  <c r="J115"/>
  <c r="J121"/>
  <c r="J127"/>
  <c r="J133"/>
  <c r="J139"/>
  <c r="J145"/>
  <c r="J151"/>
  <c r="J157"/>
  <c r="J163"/>
  <c r="J169"/>
  <c r="J175"/>
  <c r="J179"/>
  <c r="J185"/>
  <c r="J191"/>
  <c r="J195"/>
  <c r="J201"/>
  <c r="K167"/>
  <c r="K171"/>
  <c r="K175"/>
  <c r="K179"/>
  <c r="K183"/>
  <c r="K187"/>
  <c r="K191"/>
  <c r="K195"/>
  <c r="K199"/>
  <c r="J5"/>
  <c r="J9"/>
  <c r="J13"/>
  <c r="J17"/>
  <c r="J21"/>
  <c r="J25"/>
  <c r="J29"/>
  <c r="J33"/>
  <c r="J37"/>
  <c r="J41"/>
  <c r="J45"/>
  <c r="J49"/>
  <c r="J53"/>
  <c r="J57"/>
  <c r="J61"/>
  <c r="J65"/>
  <c r="J69"/>
  <c r="J73"/>
  <c r="J77"/>
  <c r="J81"/>
  <c r="J85"/>
  <c r="J89"/>
  <c r="J93"/>
  <c r="J97"/>
  <c r="J101"/>
  <c r="J105"/>
  <c r="J109"/>
  <c r="J113"/>
  <c r="J117"/>
  <c r="J120"/>
  <c r="J122"/>
  <c r="J124"/>
  <c r="J126"/>
  <c r="J128"/>
  <c r="J130"/>
  <c r="J132"/>
  <c r="J134"/>
  <c r="J136"/>
  <c r="J138"/>
  <c r="J140"/>
  <c r="J142"/>
  <c r="J144"/>
  <c r="J146"/>
  <c r="J148"/>
  <c r="J150"/>
  <c r="J152"/>
  <c r="J154"/>
  <c r="J156"/>
  <c r="J158"/>
  <c r="J160"/>
  <c r="J162"/>
  <c r="J164"/>
  <c r="J166"/>
  <c r="J168"/>
  <c r="J170"/>
  <c r="J172"/>
  <c r="J174"/>
  <c r="J176"/>
  <c r="J178"/>
  <c r="J180"/>
  <c r="J182"/>
  <c r="J184"/>
  <c r="J186"/>
  <c r="J188"/>
  <c r="J190"/>
  <c r="J192"/>
  <c r="J194"/>
  <c r="J196"/>
  <c r="J198"/>
  <c r="J200"/>
  <c r="J111"/>
  <c r="J119"/>
  <c r="J123"/>
  <c r="J125"/>
  <c r="J129"/>
  <c r="J131"/>
  <c r="J135"/>
  <c r="J137"/>
  <c r="J141"/>
  <c r="J143"/>
  <c r="J147"/>
  <c r="J149"/>
  <c r="J153"/>
  <c r="J155"/>
  <c r="J159"/>
  <c r="J161"/>
  <c r="J165"/>
  <c r="J167"/>
  <c r="J171"/>
  <c r="J173"/>
  <c r="J177"/>
  <c r="J181"/>
  <c r="J183"/>
  <c r="J187"/>
  <c r="J189"/>
  <c r="J193"/>
  <c r="J197"/>
  <c r="J199"/>
  <c r="H5"/>
  <c r="H7"/>
  <c r="H9"/>
  <c r="H11"/>
  <c r="H13"/>
  <c r="H15"/>
  <c r="H17"/>
  <c r="H19"/>
  <c r="H21"/>
  <c r="H23"/>
  <c r="H25"/>
  <c r="H27"/>
  <c r="H29"/>
  <c r="H31"/>
  <c r="H33"/>
  <c r="H35"/>
  <c r="H37"/>
  <c r="H39"/>
  <c r="H41"/>
  <c r="H43"/>
  <c r="H45"/>
  <c r="H47"/>
  <c r="H49"/>
  <c r="H51"/>
  <c r="H53"/>
  <c r="H55"/>
  <c r="H57"/>
  <c r="H59"/>
  <c r="H61"/>
  <c r="H63"/>
  <c r="H65"/>
  <c r="H67"/>
  <c r="H69"/>
  <c r="H71"/>
  <c r="H73"/>
  <c r="H75"/>
  <c r="H77"/>
  <c r="H79"/>
  <c r="H81"/>
  <c r="H83"/>
  <c r="H85"/>
  <c r="H87"/>
  <c r="H89"/>
  <c r="H91"/>
  <c r="H93"/>
  <c r="H95"/>
  <c r="H97"/>
  <c r="H99"/>
  <c r="H101"/>
  <c r="H103"/>
  <c r="H105"/>
  <c r="H107"/>
  <c r="H109"/>
  <c r="H111"/>
  <c r="H113"/>
  <c r="H115"/>
  <c r="H117"/>
  <c r="H119"/>
  <c r="H121"/>
  <c r="H123"/>
  <c r="H125"/>
  <c r="H127"/>
  <c r="H129"/>
  <c r="H131"/>
  <c r="H133"/>
  <c r="H135"/>
  <c r="H137"/>
  <c r="H139"/>
  <c r="H141"/>
  <c r="H143"/>
  <c r="H145"/>
  <c r="H147"/>
  <c r="H149"/>
  <c r="H151"/>
  <c r="H153"/>
  <c r="H155"/>
  <c r="H157"/>
  <c r="H159"/>
  <c r="H161"/>
  <c r="H163"/>
  <c r="H165"/>
  <c r="H167"/>
  <c r="H169"/>
  <c r="H171"/>
  <c r="H173"/>
  <c r="H175"/>
  <c r="H177"/>
  <c r="H179"/>
  <c r="H181"/>
  <c r="H183"/>
  <c r="H185"/>
  <c r="H187"/>
  <c r="H189"/>
  <c r="H191"/>
  <c r="H193"/>
  <c r="H195"/>
  <c r="H197"/>
  <c r="H199"/>
  <c r="H201"/>
  <c r="R5"/>
  <c r="R7"/>
  <c r="R9"/>
  <c r="R11"/>
  <c r="R13"/>
  <c r="R15"/>
  <c r="R17"/>
  <c r="R19"/>
  <c r="R21"/>
  <c r="R23"/>
  <c r="R25"/>
  <c r="R27"/>
  <c r="R29"/>
  <c r="R31"/>
  <c r="R33"/>
  <c r="R35"/>
  <c r="R37"/>
  <c r="R39"/>
  <c r="R41"/>
  <c r="R43"/>
  <c r="R45"/>
  <c r="R47"/>
  <c r="R49"/>
  <c r="R51"/>
  <c r="R53"/>
  <c r="R55"/>
  <c r="R57"/>
  <c r="R59"/>
  <c r="R61"/>
  <c r="R63"/>
  <c r="R65"/>
  <c r="R67"/>
  <c r="R69"/>
  <c r="R71"/>
  <c r="R73"/>
  <c r="R75"/>
  <c r="R77"/>
  <c r="R79"/>
  <c r="R81"/>
  <c r="R83"/>
  <c r="R85"/>
  <c r="R87"/>
  <c r="R89"/>
  <c r="R91"/>
  <c r="R93"/>
  <c r="R95"/>
  <c r="R97"/>
  <c r="R99"/>
  <c r="R101"/>
  <c r="R103"/>
  <c r="R105"/>
  <c r="R107"/>
  <c r="R109"/>
  <c r="R111"/>
  <c r="R113"/>
  <c r="R115"/>
  <c r="R117"/>
  <c r="R119"/>
  <c r="R121"/>
  <c r="R123"/>
  <c r="R125"/>
  <c r="R127"/>
  <c r="R129"/>
  <c r="R131"/>
  <c r="R133"/>
  <c r="R135"/>
  <c r="R137"/>
  <c r="R139"/>
  <c r="R141"/>
  <c r="R143"/>
  <c r="R145"/>
  <c r="R147"/>
  <c r="R149"/>
  <c r="R151"/>
  <c r="R153"/>
  <c r="R155"/>
  <c r="R157"/>
  <c r="R159"/>
  <c r="H4"/>
  <c r="H6"/>
  <c r="H8"/>
  <c r="H10"/>
  <c r="H12"/>
  <c r="H14"/>
  <c r="H16"/>
  <c r="H18"/>
  <c r="H20"/>
  <c r="H22"/>
  <c r="H24"/>
  <c r="H26"/>
  <c r="H28"/>
  <c r="H30"/>
  <c r="H32"/>
  <c r="H34"/>
  <c r="H36"/>
  <c r="H38"/>
  <c r="H40"/>
  <c r="H42"/>
  <c r="H44"/>
  <c r="H46"/>
  <c r="H48"/>
  <c r="H50"/>
  <c r="H52"/>
  <c r="H54"/>
  <c r="H56"/>
  <c r="H58"/>
  <c r="H60"/>
  <c r="H62"/>
  <c r="H64"/>
  <c r="H66"/>
  <c r="H68"/>
  <c r="H70"/>
  <c r="H72"/>
  <c r="H74"/>
  <c r="H76"/>
  <c r="H78"/>
  <c r="H80"/>
  <c r="H82"/>
  <c r="H84"/>
  <c r="H86"/>
  <c r="H88"/>
  <c r="H90"/>
  <c r="H92"/>
  <c r="H94"/>
  <c r="H96"/>
  <c r="H98"/>
  <c r="H100"/>
  <c r="H102"/>
  <c r="H104"/>
  <c r="H106"/>
  <c r="H108"/>
  <c r="H110"/>
  <c r="H112"/>
  <c r="H114"/>
  <c r="H116"/>
  <c r="H118"/>
  <c r="H120"/>
  <c r="H122"/>
  <c r="H124"/>
  <c r="H126"/>
  <c r="H128"/>
  <c r="H130"/>
  <c r="H132"/>
  <c r="H134"/>
  <c r="H136"/>
  <c r="H138"/>
  <c r="H140"/>
  <c r="H142"/>
  <c r="H144"/>
  <c r="H146"/>
  <c r="H148"/>
  <c r="H150"/>
  <c r="H152"/>
  <c r="H154"/>
  <c r="H156"/>
  <c r="H158"/>
  <c r="H160"/>
  <c r="H162"/>
  <c r="H164"/>
  <c r="H166"/>
  <c r="H168"/>
  <c r="H170"/>
  <c r="H172"/>
  <c r="H174"/>
  <c r="H176"/>
  <c r="H178"/>
  <c r="H180"/>
  <c r="H182"/>
  <c r="H184"/>
  <c r="H186"/>
  <c r="H188"/>
  <c r="H190"/>
  <c r="H192"/>
  <c r="H194"/>
  <c r="H196"/>
  <c r="H198"/>
  <c r="H200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2"/>
  <c r="Q124"/>
  <c r="Q126"/>
  <c r="Q128"/>
  <c r="Q130"/>
  <c r="Q132"/>
  <c r="Q134"/>
  <c r="Q136"/>
  <c r="Q138"/>
  <c r="Q140"/>
  <c r="Q142"/>
  <c r="Q144"/>
  <c r="Q146"/>
  <c r="Q148"/>
  <c r="Q150"/>
  <c r="Q152"/>
  <c r="Q154"/>
  <c r="Q156"/>
  <c r="Q158"/>
  <c r="Q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Q193"/>
  <c r="Q194"/>
  <c r="Q195"/>
  <c r="Q196"/>
  <c r="Q197"/>
  <c r="Q198"/>
  <c r="Q199"/>
  <c r="Q200"/>
  <c r="Q201"/>
  <c r="Q121"/>
  <c r="Q123"/>
  <c r="Q125"/>
  <c r="Q127"/>
  <c r="Q129"/>
  <c r="Q131"/>
  <c r="Q133"/>
  <c r="Q135"/>
  <c r="Q137"/>
  <c r="Q139"/>
  <c r="Q141"/>
  <c r="Q143"/>
  <c r="Q145"/>
  <c r="Q147"/>
  <c r="Q149"/>
  <c r="Q151"/>
  <c r="Q153"/>
  <c r="Q155"/>
  <c r="Q157"/>
  <c r="Q159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J3"/>
  <c r="H3"/>
  <c r="K3"/>
  <c r="I3"/>
  <c r="Q3"/>
  <c r="J2"/>
  <c r="I2"/>
  <c r="R3"/>
  <c r="H2"/>
  <c r="R2"/>
  <c r="K2"/>
  <c r="Q2"/>
  <c r="R160"/>
  <c r="R158"/>
  <c r="R156"/>
  <c r="R154"/>
  <c r="R152"/>
  <c r="R150"/>
  <c r="R148"/>
  <c r="R146"/>
  <c r="R144"/>
  <c r="R142"/>
  <c r="R140"/>
  <c r="R138"/>
  <c r="R136"/>
  <c r="R134"/>
  <c r="R132"/>
  <c r="R130"/>
  <c r="R128"/>
  <c r="R126"/>
  <c r="R124"/>
  <c r="R122"/>
  <c r="R120"/>
  <c r="R118"/>
  <c r="R116"/>
  <c r="R114"/>
  <c r="R112"/>
  <c r="R110"/>
  <c r="R108"/>
  <c r="R106"/>
  <c r="R104"/>
  <c r="R102"/>
  <c r="R100"/>
  <c r="R98"/>
  <c r="R96"/>
  <c r="R94"/>
  <c r="R92"/>
  <c r="R90"/>
  <c r="R88"/>
  <c r="R86"/>
  <c r="R84"/>
  <c r="R82"/>
  <c r="R80"/>
  <c r="R78"/>
  <c r="R76"/>
  <c r="R74"/>
  <c r="R72"/>
  <c r="R70"/>
  <c r="R68"/>
  <c r="R66"/>
  <c r="R64"/>
  <c r="R62"/>
  <c r="R60"/>
  <c r="R58"/>
  <c r="R56"/>
  <c r="R54"/>
  <c r="R52"/>
  <c r="R50"/>
  <c r="R48"/>
  <c r="R46"/>
  <c r="R44"/>
  <c r="R42"/>
  <c r="R40"/>
  <c r="R38"/>
  <c r="R36"/>
  <c r="R34"/>
  <c r="R32"/>
  <c r="R30"/>
  <c r="R28"/>
  <c r="R26"/>
  <c r="R24"/>
  <c r="R22"/>
  <c r="R20"/>
  <c r="R18"/>
  <c r="R16"/>
  <c r="R14"/>
  <c r="R12"/>
  <c r="R10"/>
  <c r="R8"/>
  <c r="R6"/>
  <c r="R4"/>
</calcChain>
</file>

<file path=xl/sharedStrings.xml><?xml version="1.0" encoding="utf-8"?>
<sst xmlns="http://schemas.openxmlformats.org/spreadsheetml/2006/main" count="345" uniqueCount="106">
  <si>
    <t>LTP</t>
  </si>
  <si>
    <t>High</t>
  </si>
  <si>
    <t>Low</t>
  </si>
  <si>
    <t>Volume</t>
  </si>
  <si>
    <t>LTQ</t>
  </si>
  <si>
    <t>Bid Qty</t>
  </si>
  <si>
    <t>Ask Qty</t>
  </si>
  <si>
    <t>Open</t>
  </si>
  <si>
    <t>Last Trade Time</t>
  </si>
  <si>
    <t>Ltp Color</t>
  </si>
  <si>
    <t>Last</t>
  </si>
  <si>
    <t>Bid</t>
  </si>
  <si>
    <t>BidSize</t>
  </si>
  <si>
    <t>Ask</t>
  </si>
  <si>
    <t>AskSize</t>
  </si>
  <si>
    <t>AverageTradePrice</t>
  </si>
  <si>
    <t>TotalBidQty</t>
  </si>
  <si>
    <t>TotalAskQty</t>
  </si>
  <si>
    <t>PrevClose</t>
  </si>
  <si>
    <t>OpenInterest</t>
  </si>
  <si>
    <t>lastTradeTime</t>
  </si>
  <si>
    <t>PI</t>
  </si>
  <si>
    <t>NEST</t>
  </si>
  <si>
    <t>NOW</t>
  </si>
  <si>
    <t>Bid Rate</t>
  </si>
  <si>
    <t>Ask Rate</t>
  </si>
  <si>
    <t>ATP</t>
  </si>
  <si>
    <t>Volume Traded Today</t>
  </si>
  <si>
    <t>Total Bid Qty</t>
  </si>
  <si>
    <t>Total Ask Qty</t>
  </si>
  <si>
    <t xml:space="preserve">Low </t>
  </si>
  <si>
    <t>Prev Close</t>
  </si>
  <si>
    <t>Open Interest</t>
  </si>
  <si>
    <t>LTT</t>
  </si>
  <si>
    <t>Last Traded Price</t>
  </si>
  <si>
    <t>Last Trade Qty</t>
  </si>
  <si>
    <t>Best Buy Rate</t>
  </si>
  <si>
    <t>Best Buy Qty</t>
  </si>
  <si>
    <t>Best Sell Rate</t>
  </si>
  <si>
    <t>Best Sell Qty</t>
  </si>
  <si>
    <t>Total Buy Quantity</t>
  </si>
  <si>
    <t>Total Sell Quantity</t>
  </si>
  <si>
    <t>High Price</t>
  </si>
  <si>
    <t>Low Price</t>
  </si>
  <si>
    <t>Prev Close Price</t>
  </si>
  <si>
    <t>USER SETTINGS</t>
  </si>
  <si>
    <t>TERMINAL</t>
  </si>
  <si>
    <t>EXCH</t>
  </si>
  <si>
    <t>NSE</t>
  </si>
  <si>
    <t>NFO</t>
  </si>
  <si>
    <t>MCX</t>
  </si>
  <si>
    <t>BSE</t>
  </si>
  <si>
    <t>CDS</t>
  </si>
  <si>
    <t>BFO</t>
  </si>
  <si>
    <t>TERMINAL LIST</t>
  </si>
  <si>
    <t>FIELD</t>
  </si>
  <si>
    <t>Rev_Exch</t>
  </si>
  <si>
    <t>Topic</t>
  </si>
  <si>
    <t>nse_cm</t>
  </si>
  <si>
    <t>nse_fo</t>
  </si>
  <si>
    <t>mcx_fo</t>
  </si>
  <si>
    <t>bse_cm</t>
  </si>
  <si>
    <t>cde_fo</t>
  </si>
  <si>
    <t>bse_fo</t>
  </si>
  <si>
    <t>SEPERATOR</t>
  </si>
  <si>
    <t>_</t>
  </si>
  <si>
    <t>|</t>
  </si>
  <si>
    <t>LogValue</t>
  </si>
  <si>
    <t>BID</t>
  </si>
  <si>
    <t>BIDSIZE</t>
  </si>
  <si>
    <t>ASK</t>
  </si>
  <si>
    <t>ASKSIZE</t>
  </si>
  <si>
    <t>VOL</t>
  </si>
  <si>
    <t>TOTBUYQTY</t>
  </si>
  <si>
    <t>TOTSELLQTY</t>
  </si>
  <si>
    <t>OPEN</t>
  </si>
  <si>
    <t>HIGH</t>
  </si>
  <si>
    <t>LOW</t>
  </si>
  <si>
    <t>CLOSE</t>
  </si>
  <si>
    <t>OI</t>
  </si>
  <si>
    <t xml:space="preserve"> </t>
  </si>
  <si>
    <t>AXISBANK-EQ</t>
  </si>
  <si>
    <t>ICICIBANK-EQ</t>
  </si>
  <si>
    <t>SYMBOL</t>
  </si>
  <si>
    <r>
      <t xml:space="preserve">Notes:
1.Tick data will be logged to "Documents\LogRTD" folder.
2.'Trade Symbol' should match exactly with the Pi/Nest/Now.
3.'Link to Excel' must be enabled in Pi/Nest/Now.
4.Excel must be 'Run as Administrator'
4.'Macros' and 'ActiveX' must be enabled in Excel.
5.You can import the logged Tick data in to 'AmiBroker'.
Visit </t>
    </r>
    <r>
      <rPr>
        <sz val="11"/>
        <color rgb="FF0000FF"/>
        <rFont val="Cambria"/>
        <family val="1"/>
        <scheme val="major"/>
      </rPr>
      <t>https://howutrade.in</t>
    </r>
    <r>
      <rPr>
        <sz val="11"/>
        <color theme="1" tint="0.249977111117893"/>
        <rFont val="Cambria"/>
        <family val="1"/>
        <scheme val="major"/>
      </rPr>
      <t xml:space="preserve"> for more Products and Services
</t>
    </r>
  </si>
  <si>
    <t>Excel will crash when</t>
  </si>
  <si>
    <t>Changing Terminal from 'Pi' to Others while RTD is running</t>
  </si>
  <si>
    <t>Modifying or Deleting the 'Exch' while RTD is running</t>
  </si>
  <si>
    <t>NEST or NOW RTD will work smoothly without any error. You can add, modify or delete symbol. Change terminal from Nest to Now or Now to Nest</t>
  </si>
  <si>
    <t>There are some known issue with Pi RTD</t>
  </si>
  <si>
    <t>This is a known bug in Pi and we already notified Zerodha</t>
  </si>
  <si>
    <t>Solution:</t>
  </si>
  <si>
    <t>After opening of Pi, do not change anything.</t>
  </si>
  <si>
    <t>Before opening PI, Add/Modify/Delete Symbols as required in LogRTD Excel.</t>
  </si>
  <si>
    <t>Closing while RTD is running</t>
  </si>
  <si>
    <t xml:space="preserve">The above solution will prevent Excel from crashing during running only, but  Excel will crash on closing. </t>
  </si>
  <si>
    <t>You can simulate this error with normal excel sheet also</t>
  </si>
  <si>
    <t>Open Pi, Add Symbols to Market watch</t>
  </si>
  <si>
    <t>Right click on Market Watch, select 'Link to Excel'</t>
  </si>
  <si>
    <t>An Excel file be opened with Market watch symbols with RTD</t>
  </si>
  <si>
    <t>Now, Delete any cell where RTD is updating, Excel will crash immdiately.</t>
  </si>
  <si>
    <t>or Close the Excel, again Excel will crash.</t>
  </si>
  <si>
    <t>This issue will automatically go, once bug is fixed in Pi.</t>
  </si>
  <si>
    <t>Modifying or Deleting the 'TrdSym' while RTD is running</t>
  </si>
  <si>
    <t>Modifying or Deleting the 'Field' while RTD is running</t>
  </si>
  <si>
    <t>https://howutrade.in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</si>
</sst>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sz val="11"/>
      <color theme="1" tint="0.249977111117893"/>
      <name val="Cambria"/>
      <family val="1"/>
      <scheme val="major"/>
    </font>
    <font>
      <sz val="10"/>
      <name val="Arial"/>
      <family val="2"/>
    </font>
    <font>
      <sz val="11"/>
      <color theme="0"/>
      <name val="Cambria"/>
      <family val="1"/>
      <scheme val="major"/>
    </font>
    <font>
      <sz val="11"/>
      <color rgb="FF0000FF"/>
      <name val="Cambria"/>
      <family val="1"/>
      <scheme val="major"/>
    </font>
    <font>
      <sz val="11"/>
      <color rgb="FFCC0000"/>
      <name val="Cambria"/>
      <family val="1"/>
      <scheme val="major"/>
    </font>
    <font>
      <u/>
      <sz val="11"/>
      <color theme="10"/>
      <name val="Calibri"/>
      <family val="2"/>
    </font>
    <font>
      <u/>
      <sz val="22"/>
      <color theme="10"/>
      <name val="Cambria"/>
      <family val="1"/>
      <scheme val="major"/>
    </font>
    <font>
      <sz val="22"/>
      <color theme="1" tint="0.249977111117893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gradientFill degree="90">
        <stop position="0">
          <color theme="0" tint="-0.34900967436750391"/>
        </stop>
        <stop position="1">
          <color theme="0" tint="-0.1490218817712943"/>
        </stop>
      </gradientFill>
    </fill>
    <fill>
      <gradientFill degree="90">
        <stop position="0">
          <color theme="9" tint="-0.25098422193060094"/>
        </stop>
        <stop position="1">
          <color theme="9" tint="0.59999389629810485"/>
        </stop>
      </gradientFill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</cellStyleXfs>
  <cellXfs count="33">
    <xf numFmtId="0" fontId="0" fillId="0" borderId="0" xfId="0"/>
    <xf numFmtId="0" fontId="1" fillId="0" borderId="0" xfId="0" applyFont="1"/>
    <xf numFmtId="0" fontId="1" fillId="2" borderId="1" xfId="0" applyFont="1" applyFill="1" applyBorder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</xf>
    <xf numFmtId="2" fontId="1" fillId="0" borderId="1" xfId="0" applyNumberFormat="1" applyFont="1" applyBorder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1" fillId="3" borderId="1" xfId="0" applyFont="1" applyFill="1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 applyProtection="1">
      <alignment vertical="center"/>
    </xf>
    <xf numFmtId="0" fontId="1" fillId="0" borderId="3" xfId="0" applyFont="1" applyBorder="1" applyAlignment="1" applyProtection="1">
      <alignment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vertical="center"/>
    </xf>
    <xf numFmtId="2" fontId="1" fillId="0" borderId="1" xfId="0" quotePrefix="1" applyNumberFormat="1" applyFont="1" applyBorder="1" applyAlignment="1" applyProtection="1">
      <alignment vertical="center"/>
    </xf>
    <xf numFmtId="1" fontId="1" fillId="0" borderId="1" xfId="0" quotePrefix="1" applyNumberFormat="1" applyFont="1" applyBorder="1" applyAlignment="1" applyProtection="1">
      <alignment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1" fontId="1" fillId="0" borderId="1" xfId="0" applyNumberFormat="1" applyFont="1" applyBorder="1" applyAlignment="1" applyProtection="1">
      <alignment vertical="center"/>
    </xf>
    <xf numFmtId="0" fontId="1" fillId="0" borderId="0" xfId="0" applyFont="1" applyBorder="1" applyAlignment="1" applyProtection="1">
      <alignment horizontal="left" vertical="top" wrapText="1"/>
    </xf>
    <xf numFmtId="0" fontId="5" fillId="0" borderId="0" xfId="0" applyFont="1"/>
    <xf numFmtId="0" fontId="4" fillId="0" borderId="0" xfId="0" applyFont="1"/>
    <xf numFmtId="0" fontId="1" fillId="4" borderId="0" xfId="0" applyFont="1" applyFill="1" applyAlignment="1" applyProtection="1">
      <alignment horizontal="center" vertical="center"/>
    </xf>
    <xf numFmtId="0" fontId="1" fillId="0" borderId="6" xfId="0" applyFont="1" applyBorder="1" applyAlignment="1" applyProtection="1">
      <alignment horizontal="left" vertical="top" wrapText="1"/>
    </xf>
    <xf numFmtId="0" fontId="1" fillId="0" borderId="7" xfId="0" applyFont="1" applyBorder="1" applyAlignment="1" applyProtection="1">
      <alignment horizontal="left" vertical="top" wrapText="1"/>
    </xf>
    <xf numFmtId="0" fontId="1" fillId="0" borderId="5" xfId="0" applyFont="1" applyBorder="1" applyAlignment="1" applyProtection="1">
      <alignment horizontal="left" vertical="top" wrapText="1"/>
    </xf>
    <xf numFmtId="0" fontId="1" fillId="0" borderId="4" xfId="0" applyFont="1" applyBorder="1" applyAlignment="1" applyProtection="1">
      <alignment horizontal="left" vertical="top" wrapText="1"/>
    </xf>
    <xf numFmtId="0" fontId="1" fillId="0" borderId="8" xfId="0" applyFont="1" applyBorder="1" applyAlignment="1" applyProtection="1">
      <alignment horizontal="left" vertical="top" wrapText="1"/>
    </xf>
    <xf numFmtId="0" fontId="1" fillId="0" borderId="9" xfId="0" applyFont="1" applyBorder="1" applyAlignment="1" applyProtection="1">
      <alignment horizontal="left" vertical="top" wrapText="1"/>
    </xf>
    <xf numFmtId="0" fontId="7" fillId="0" borderId="5" xfId="2" applyFont="1" applyBorder="1" applyAlignment="1" applyProtection="1">
      <alignment horizontal="center" vertical="center" textRotation="90"/>
    </xf>
    <xf numFmtId="0" fontId="8" fillId="0" borderId="5" xfId="0" applyFont="1" applyBorder="1" applyAlignment="1" applyProtection="1">
      <alignment horizontal="center" vertical="center" textRotation="90"/>
    </xf>
  </cellXfs>
  <cellStyles count="3">
    <cellStyle name="Hyperlink" xfId="2" builtinId="8"/>
    <cellStyle name="Normal" xfId="0" builtinId="0"/>
    <cellStyle name="Normal 2" xfId="1"/>
  </cellStyles>
  <dxfs count="2">
    <dxf>
      <fill>
        <patternFill>
          <bgColor rgb="FF3FFF96"/>
        </patternFill>
      </fill>
    </dxf>
    <dxf>
      <fill>
        <patternFill>
          <bgColor rgb="FFFF8181"/>
        </patternFill>
      </fill>
    </dxf>
  </dxfs>
  <tableStyles count="0" defaultTableStyle="TableStyleMedium9" defaultPivotStyle="PivotStyleLight16"/>
  <colors>
    <mruColors>
      <color rgb="FF0000FF"/>
      <color rgb="FFCC0000"/>
      <color rgb="FFFFFF99"/>
      <color rgb="FFFF8181"/>
      <color rgb="FF3FFF96"/>
      <color rgb="FFFFAA8F"/>
      <color rgb="FFCC3300"/>
      <color rgb="FFFF33CC"/>
      <color rgb="FFD60093"/>
      <color rgb="FFFF3300"/>
    </mruColors>
  </colors>
</styleSheet>
</file>

<file path=xl/volatileDependencies.xml><?xml version="1.0" encoding="utf-8"?>
<volTypes xmlns="http://schemas.openxmlformats.org/spreadsheetml/2006/main">
  <volType type="realTimeData">
    <main first="nest.scriprtd">
      <tp t="e">
        <v>#N/A</v>
        <stp/>
        <stp>nse_cm|ICICIBANK-EQ</stp>
        <stp>LTP</stp>
        <tr r="H3" s="8"/>
      </tp>
      <tp t="e">
        <v>#N/A</v>
        <stp/>
        <stp>nse_cm|ICICIBANK-EQ</stp>
        <stp>Volume Traded Today</stp>
        <tr r="J3" s="8"/>
      </tp>
      <tp t="e">
        <v>#N/A</v>
        <stp/>
        <stp>nse_cm|ICICIBANK-EQ</stp>
        <stp>ATP</stp>
        <tr r="I3" s="8"/>
      </tp>
      <tp t="e">
        <v>#N/A</v>
        <stp/>
        <stp>nse_cm|AXISBANK-EQ</stp>
        <stp>ATP</stp>
        <tr r="I2" s="8"/>
      </tp>
      <tp t="e">
        <v>#N/A</v>
        <stp/>
        <stp>nse_cm|AXISBANK-EQ</stp>
        <stp>Volume Traded Today</stp>
        <tr r="J2" s="8"/>
      </tp>
      <tp t="e">
        <v>#N/A</v>
        <stp/>
        <stp>nse_cm|ICICIBANK-EQ</stp>
        <stp>Open Interest</stp>
        <tr r="K3" s="8"/>
      </tp>
      <tp t="e">
        <v>#N/A</v>
        <stp/>
        <stp>nse_cm|AXISBANK-EQ</stp>
        <stp>LTP</stp>
        <tr r="H2" s="8"/>
      </tp>
      <tp t="e">
        <v>#N/A</v>
        <stp/>
        <stp>nse_cm|AXISBANK-EQ</stp>
        <stp>Open Interest</stp>
        <tr r="K2" s="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howutrade.in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S202"/>
  <sheetViews>
    <sheetView showGridLines="0" tabSelected="1" workbookViewId="0">
      <selection activeCell="B1" sqref="B1:C1"/>
    </sheetView>
  </sheetViews>
  <sheetFormatPr defaultColWidth="0" defaultRowHeight="14.25" customHeight="1" zeroHeight="1"/>
  <cols>
    <col min="1" max="1" width="3.28515625" style="5" customWidth="1"/>
    <col min="2" max="2" width="23.42578125" style="5" customWidth="1"/>
    <col min="3" max="3" width="15.7109375" style="5" customWidth="1"/>
    <col min="4" max="5" width="3.28515625" style="15" customWidth="1"/>
    <col min="6" max="6" width="9.140625" style="5" customWidth="1"/>
    <col min="7" max="7" width="27.7109375" style="5" customWidth="1"/>
    <col min="8" max="11" width="13.7109375" style="5" customWidth="1"/>
    <col min="12" max="13" width="9.140625" style="5" customWidth="1"/>
    <col min="14" max="14" width="9.140625" style="5" hidden="1" customWidth="1"/>
    <col min="15" max="15" width="12.7109375" style="5" hidden="1" customWidth="1"/>
    <col min="16" max="16" width="18.5703125" style="5" hidden="1" customWidth="1"/>
    <col min="17" max="17" width="15" style="5" hidden="1" customWidth="1"/>
    <col min="18" max="18" width="9.140625" style="5" hidden="1" customWidth="1"/>
    <col min="19" max="19" width="2.7109375" style="5" hidden="1" customWidth="1"/>
    <col min="20" max="16384" width="9.140625" style="5" hidden="1"/>
  </cols>
  <sheetData>
    <row r="1" spans="2:18" s="3" customFormat="1" ht="14.25" customHeight="1">
      <c r="B1" s="24" t="s">
        <v>45</v>
      </c>
      <c r="C1" s="24"/>
      <c r="D1" s="14"/>
      <c r="E1" s="14" t="s">
        <v>80</v>
      </c>
      <c r="F1" s="6" t="s">
        <v>47</v>
      </c>
      <c r="G1" s="6" t="s">
        <v>83</v>
      </c>
      <c r="H1" s="6" t="str">
        <f>Field</f>
        <v>LTP</v>
      </c>
      <c r="I1" s="6" t="s">
        <v>26</v>
      </c>
      <c r="J1" s="6" t="s">
        <v>72</v>
      </c>
      <c r="K1" s="6" t="s">
        <v>79</v>
      </c>
      <c r="L1" s="31" t="s">
        <v>105</v>
      </c>
      <c r="O1" s="6" t="s">
        <v>56</v>
      </c>
      <c r="P1" s="6" t="s">
        <v>57</v>
      </c>
      <c r="Q1" s="6" t="s">
        <v>67</v>
      </c>
      <c r="R1" s="6" t="s">
        <v>9</v>
      </c>
    </row>
    <row r="2" spans="2:18" ht="14.25" customHeight="1">
      <c r="B2" s="12" t="s">
        <v>46</v>
      </c>
      <c r="C2" s="2" t="s">
        <v>22</v>
      </c>
      <c r="D2" s="15" t="str">
        <f>IF(C2="PI","Field_List_Pi",IF(C2="NEST","Field_List_Nest","Field_List_Now"))</f>
        <v>Field_List_Nest</v>
      </c>
      <c r="E2" s="14" t="s">
        <v>80</v>
      </c>
      <c r="F2" s="2" t="s">
        <v>48</v>
      </c>
      <c r="G2" s="2" t="s">
        <v>81</v>
      </c>
      <c r="H2" s="4">
        <f>IFERROR(GetRTD(Rtd_Server,P2,StrField,TRIM(F2),TRIM(G2)),0)</f>
        <v>0</v>
      </c>
      <c r="I2" s="4">
        <f>IFERROR(GetRTD(Rtd_Server,P2,StrFieldATP,TRIM(F2),TRIM(G2)),0)</f>
        <v>0</v>
      </c>
      <c r="J2" s="20">
        <f>IFERROR(GetRTD(Rtd_Server,P2,StrFieldVol,TRIM(F2),TRIM(G2)),0)</f>
        <v>0</v>
      </c>
      <c r="K2" s="20">
        <f>IFERROR(GetRTD(Rtd_Server,P2,StrFieldOI,TRIM(F2),TRIM(G2)),0)</f>
        <v>0</v>
      </c>
      <c r="L2" s="32"/>
      <c r="O2" s="4" t="str">
        <f t="shared" ref="O2" si="0">IFERROR(IF(Terminal="PI",VLOOKUP(F2,RevExch_Table,2,FALSE),IF(Terminal="NEST",VLOOKUP(F2,RevExch_Table,3,FALSE),VLOOKUP(F2,RevExch_Table,4,FALSE))),"")</f>
        <v>nse_cm</v>
      </c>
      <c r="P2" s="4" t="str">
        <f t="shared" ref="P2:P33" si="1">IF(OR(F2="",G2=""),"",O2&amp;Seperator&amp;UPPER(G2))</f>
        <v>nse_cm|AXISBANK-EQ</v>
      </c>
      <c r="Q2" s="16" t="b">
        <f t="shared" ref="Q2:Q33" si="2">LogValue(G2, Field, H2, I2, J2, K2)</f>
        <v>0</v>
      </c>
      <c r="R2" s="17">
        <f>GetValueColor(G2,H2,"Ltp")</f>
        <v>0</v>
      </c>
    </row>
    <row r="3" spans="2:18" ht="14.25" customHeight="1">
      <c r="B3" s="13" t="s">
        <v>55</v>
      </c>
      <c r="C3" s="2" t="s">
        <v>0</v>
      </c>
      <c r="D3" s="15" t="str">
        <f>IF(C2="PI","pi.rtdserver",IF(C2="NEST","nest.scriprtd","now.scriprtd"))</f>
        <v>nest.scriprtd</v>
      </c>
      <c r="E3" s="14" t="s">
        <v>80</v>
      </c>
      <c r="F3" s="2" t="s">
        <v>48</v>
      </c>
      <c r="G3" s="2" t="s">
        <v>82</v>
      </c>
      <c r="H3" s="4">
        <f>IFERROR(GetRTD(Rtd_Server,P3,StrField,TRIM(F3),TRIM(G3)),0)</f>
        <v>0</v>
      </c>
      <c r="I3" s="4">
        <f>IFERROR(GetRTD(Rtd_Server,P3,StrFieldATP,TRIM(F3),TRIM(G3)),0)</f>
        <v>0</v>
      </c>
      <c r="J3" s="20">
        <f>IFERROR(GetRTD(Rtd_Server,P3,StrFieldVol,TRIM(F3),TRIM(G3)),0)</f>
        <v>0</v>
      </c>
      <c r="K3" s="20">
        <f>IFERROR(GetRTD(Rtd_Server,P3,StrFieldOI,TRIM(F3),TRIM(G3)),0)</f>
        <v>0</v>
      </c>
      <c r="L3" s="32"/>
      <c r="O3" s="4" t="str">
        <f t="shared" ref="O3:O66" si="3">IFERROR(IF(Terminal="PI",VLOOKUP(F3,RevExch_Table,2,FALSE),IF(Terminal="NEST",VLOOKUP(F3,RevExch_Table,3,FALSE),VLOOKUP(F3,RevExch_Table,4,FALSE))),"")</f>
        <v>nse_cm</v>
      </c>
      <c r="P3" s="4" t="str">
        <f t="shared" si="1"/>
        <v>nse_cm|ICICIBANK-EQ</v>
      </c>
      <c r="Q3" s="16" t="b">
        <f t="shared" si="2"/>
        <v>0</v>
      </c>
      <c r="R3" s="17">
        <f t="shared" ref="R3:R66" si="4">GetValueColor(G3,H3,"Ltp")</f>
        <v>0</v>
      </c>
    </row>
    <row r="4" spans="2:18" ht="14.25" customHeight="1">
      <c r="D4" s="15" t="str">
        <f>IF(C2="PI","_",IF(C2="NEST","|","|"))</f>
        <v>|</v>
      </c>
      <c r="E4" s="14" t="s">
        <v>80</v>
      </c>
      <c r="F4" s="2"/>
      <c r="G4" s="2"/>
      <c r="H4" s="4">
        <f>IFERROR(GetRTD(Rtd_Server,P4,StrField,TRIM(F4),TRIM(G4)),0)</f>
        <v>0</v>
      </c>
      <c r="I4" s="4">
        <f>IFERROR(GetRTD(Rtd_Server,P4,StrFieldATP,TRIM(F4),TRIM(G4)),0)</f>
        <v>0</v>
      </c>
      <c r="J4" s="20">
        <f>IFERROR(GetRTD(Rtd_Server,P4,StrFieldVol,TRIM(F4),TRIM(G4)),0)</f>
        <v>0</v>
      </c>
      <c r="K4" s="20">
        <f>IFERROR(GetRTD(Rtd_Server,P4,StrFieldOI,TRIM(F4),TRIM(G4)),0)</f>
        <v>0</v>
      </c>
      <c r="L4" s="32"/>
      <c r="O4" s="4" t="str">
        <f t="shared" si="3"/>
        <v/>
      </c>
      <c r="P4" s="4" t="str">
        <f t="shared" si="1"/>
        <v/>
      </c>
      <c r="Q4" s="16" t="b">
        <f t="shared" si="2"/>
        <v>0</v>
      </c>
      <c r="R4" s="17">
        <f t="shared" si="4"/>
        <v>0</v>
      </c>
    </row>
    <row r="5" spans="2:18" ht="14.25" customHeight="1">
      <c r="B5" s="25" t="s">
        <v>84</v>
      </c>
      <c r="C5" s="26"/>
      <c r="D5" s="15" t="str">
        <f>IF(Terminal="PI",VLOOKUP(Field,Field_List_Table,2,FALSE),IF(Terminal="NEST",VLOOKUP(Field,Field_List_Table,3,FALSE),VLOOKUP(Field,Field_List_Table,4,FALSE)))</f>
        <v>LTP</v>
      </c>
      <c r="E5" s="14" t="s">
        <v>80</v>
      </c>
      <c r="F5" s="2"/>
      <c r="G5" s="2"/>
      <c r="H5" s="4">
        <f>IFERROR(GetRTD(Rtd_Server,P5,StrField,TRIM(F5),TRIM(G5)),0)</f>
        <v>0</v>
      </c>
      <c r="I5" s="4">
        <f>IFERROR(GetRTD(Rtd_Server,P5,StrFieldATP,TRIM(F5),TRIM(G5)),0)</f>
        <v>0</v>
      </c>
      <c r="J5" s="20">
        <f>IFERROR(GetRTD(Rtd_Server,P5,StrFieldVol,TRIM(F5),TRIM(G5)),0)</f>
        <v>0</v>
      </c>
      <c r="K5" s="20">
        <f>IFERROR(GetRTD(Rtd_Server,P5,StrFieldOI,TRIM(F5),TRIM(G5)),0)</f>
        <v>0</v>
      </c>
      <c r="L5" s="32"/>
      <c r="O5" s="4" t="str">
        <f t="shared" si="3"/>
        <v/>
      </c>
      <c r="P5" s="4" t="str">
        <f t="shared" si="1"/>
        <v/>
      </c>
      <c r="Q5" s="16" t="b">
        <f t="shared" si="2"/>
        <v>0</v>
      </c>
      <c r="R5" s="17">
        <f t="shared" si="4"/>
        <v>0</v>
      </c>
    </row>
    <row r="6" spans="2:18" ht="14.25" customHeight="1">
      <c r="B6" s="27"/>
      <c r="C6" s="28"/>
      <c r="D6" s="15" t="str">
        <f>IF(Terminal="PI",VLOOKUP("ATP",Field_List_Table,2,FALSE),IF(Terminal="NEST",VLOOKUP("ATP",Field_List_Table,3,FALSE),VLOOKUP("ATP",Field_List_Table,4,FALSE)))</f>
        <v>ATP</v>
      </c>
      <c r="E6" s="14" t="s">
        <v>80</v>
      </c>
      <c r="F6" s="2"/>
      <c r="G6" s="2"/>
      <c r="H6" s="4">
        <f>IFERROR(GetRTD(Rtd_Server,P6,StrField,TRIM(F6),TRIM(G6)),0)</f>
        <v>0</v>
      </c>
      <c r="I6" s="4">
        <f>IFERROR(GetRTD(Rtd_Server,P6,StrFieldATP,TRIM(F6),TRIM(G6)),0)</f>
        <v>0</v>
      </c>
      <c r="J6" s="20">
        <f>IFERROR(GetRTD(Rtd_Server,P6,StrFieldVol,TRIM(F6),TRIM(G6)),0)</f>
        <v>0</v>
      </c>
      <c r="K6" s="20">
        <f>IFERROR(GetRTD(Rtd_Server,P6,StrFieldOI,TRIM(F6),TRIM(G6)),0)</f>
        <v>0</v>
      </c>
      <c r="L6" s="32"/>
      <c r="O6" s="4" t="str">
        <f t="shared" si="3"/>
        <v/>
      </c>
      <c r="P6" s="4" t="str">
        <f t="shared" si="1"/>
        <v/>
      </c>
      <c r="Q6" s="16" t="b">
        <f t="shared" si="2"/>
        <v>0</v>
      </c>
      <c r="R6" s="17">
        <f t="shared" si="4"/>
        <v>0</v>
      </c>
    </row>
    <row r="7" spans="2:18" ht="14.25" customHeight="1">
      <c r="B7" s="27"/>
      <c r="C7" s="28"/>
      <c r="D7" s="15" t="str">
        <f>IF(Terminal="PI",VLOOKUP("VOL",Field_List_Table,2,FALSE),IF(Terminal="NEST",VLOOKUP("VOL",Field_List_Table,3,FALSE),VLOOKUP("VOL",Field_List_Table,4,FALSE)))</f>
        <v>Volume Traded Today</v>
      </c>
      <c r="E7" s="14" t="s">
        <v>80</v>
      </c>
      <c r="F7" s="2"/>
      <c r="G7" s="2"/>
      <c r="H7" s="4">
        <f>IFERROR(GetRTD(Rtd_Server,P7,StrField,TRIM(F7),TRIM(G7)),0)</f>
        <v>0</v>
      </c>
      <c r="I7" s="4">
        <f>IFERROR(GetRTD(Rtd_Server,P7,StrFieldATP,TRIM(F7),TRIM(G7)),0)</f>
        <v>0</v>
      </c>
      <c r="J7" s="20">
        <f>IFERROR(GetRTD(Rtd_Server,P7,StrFieldVol,TRIM(F7),TRIM(G7)),0)</f>
        <v>0</v>
      </c>
      <c r="K7" s="20">
        <f>IFERROR(GetRTD(Rtd_Server,P7,StrFieldOI,TRIM(F7),TRIM(G7)),0)</f>
        <v>0</v>
      </c>
      <c r="L7" s="32"/>
      <c r="O7" s="4" t="str">
        <f t="shared" si="3"/>
        <v/>
      </c>
      <c r="P7" s="4" t="str">
        <f t="shared" si="1"/>
        <v/>
      </c>
      <c r="Q7" s="16" t="b">
        <f t="shared" si="2"/>
        <v>0</v>
      </c>
      <c r="R7" s="17">
        <f t="shared" si="4"/>
        <v>0</v>
      </c>
    </row>
    <row r="8" spans="2:18" ht="14.25" customHeight="1">
      <c r="B8" s="27"/>
      <c r="C8" s="28"/>
      <c r="D8" s="15" t="str">
        <f>IF(Terminal="PI",VLOOKUP("OI",Field_List_Table,2,FALSE),IF(Terminal="NEST",VLOOKUP("OI",Field_List_Table,3,FALSE),VLOOKUP("OI",Field_List_Table,4,FALSE)))</f>
        <v>Open Interest</v>
      </c>
      <c r="E8" s="14" t="s">
        <v>80</v>
      </c>
      <c r="F8" s="2"/>
      <c r="G8" s="2"/>
      <c r="H8" s="4">
        <f>IFERROR(GetRTD(Rtd_Server,P8,StrField,TRIM(F8),TRIM(G8)),0)</f>
        <v>0</v>
      </c>
      <c r="I8" s="4">
        <f>IFERROR(GetRTD(Rtd_Server,P8,StrFieldATP,TRIM(F8),TRIM(G8)),0)</f>
        <v>0</v>
      </c>
      <c r="J8" s="20">
        <f>IFERROR(GetRTD(Rtd_Server,P8,StrFieldVol,TRIM(F8),TRIM(G8)),0)</f>
        <v>0</v>
      </c>
      <c r="K8" s="20">
        <f>IFERROR(GetRTD(Rtd_Server,P8,StrFieldOI,TRIM(F8),TRIM(G8)),0)</f>
        <v>0</v>
      </c>
      <c r="L8" s="32"/>
      <c r="O8" s="4" t="str">
        <f t="shared" si="3"/>
        <v/>
      </c>
      <c r="P8" s="4" t="str">
        <f t="shared" si="1"/>
        <v/>
      </c>
      <c r="Q8" s="16" t="b">
        <f t="shared" si="2"/>
        <v>0</v>
      </c>
      <c r="R8" s="17">
        <f t="shared" si="4"/>
        <v>0</v>
      </c>
    </row>
    <row r="9" spans="2:18" ht="14.25" customHeight="1">
      <c r="B9" s="27"/>
      <c r="C9" s="28"/>
      <c r="E9" s="14" t="s">
        <v>80</v>
      </c>
      <c r="F9" s="2"/>
      <c r="G9" s="2"/>
      <c r="H9" s="4">
        <f>IFERROR(GetRTD(Rtd_Server,P9,StrField,TRIM(F9),TRIM(G9)),0)</f>
        <v>0</v>
      </c>
      <c r="I9" s="4">
        <f>IFERROR(GetRTD(Rtd_Server,P9,StrFieldATP,TRIM(F9),TRIM(G9)),0)</f>
        <v>0</v>
      </c>
      <c r="J9" s="20">
        <f>IFERROR(GetRTD(Rtd_Server,P9,StrFieldVol,TRIM(F9),TRIM(G9)),0)</f>
        <v>0</v>
      </c>
      <c r="K9" s="20">
        <f>IFERROR(GetRTD(Rtd_Server,P9,StrFieldOI,TRIM(F9),TRIM(G9)),0)</f>
        <v>0</v>
      </c>
      <c r="L9" s="32"/>
      <c r="O9" s="4" t="str">
        <f t="shared" si="3"/>
        <v/>
      </c>
      <c r="P9" s="4" t="str">
        <f t="shared" si="1"/>
        <v/>
      </c>
      <c r="Q9" s="16" t="b">
        <f t="shared" si="2"/>
        <v>0</v>
      </c>
      <c r="R9" s="17">
        <f t="shared" si="4"/>
        <v>0</v>
      </c>
    </row>
    <row r="10" spans="2:18" ht="14.25" customHeight="1">
      <c r="B10" s="27"/>
      <c r="C10" s="28"/>
      <c r="E10" s="14" t="s">
        <v>80</v>
      </c>
      <c r="F10" s="2"/>
      <c r="G10" s="2"/>
      <c r="H10" s="4">
        <f>IFERROR(GetRTD(Rtd_Server,P10,StrField,TRIM(F10),TRIM(G10)),0)</f>
        <v>0</v>
      </c>
      <c r="I10" s="4">
        <f>IFERROR(GetRTD(Rtd_Server,P10,StrFieldATP,TRIM(F10),TRIM(G10)),0)</f>
        <v>0</v>
      </c>
      <c r="J10" s="20">
        <f>IFERROR(GetRTD(Rtd_Server,P10,StrFieldVol,TRIM(F10),TRIM(G10)),0)</f>
        <v>0</v>
      </c>
      <c r="K10" s="20">
        <f>IFERROR(GetRTD(Rtd_Server,P10,StrFieldOI,TRIM(F10),TRIM(G10)),0)</f>
        <v>0</v>
      </c>
      <c r="L10" s="32"/>
      <c r="O10" s="4" t="str">
        <f t="shared" si="3"/>
        <v/>
      </c>
      <c r="P10" s="4" t="str">
        <f t="shared" si="1"/>
        <v/>
      </c>
      <c r="Q10" s="16" t="b">
        <f t="shared" si="2"/>
        <v>0</v>
      </c>
      <c r="R10" s="17">
        <f t="shared" si="4"/>
        <v>0</v>
      </c>
    </row>
    <row r="11" spans="2:18" ht="14.25" customHeight="1">
      <c r="B11" s="27"/>
      <c r="C11" s="28"/>
      <c r="E11" s="14" t="s">
        <v>80</v>
      </c>
      <c r="F11" s="2"/>
      <c r="G11" s="2"/>
      <c r="H11" s="4">
        <f>IFERROR(GetRTD(Rtd_Server,P11,StrField,TRIM(F11),TRIM(G11)),0)</f>
        <v>0</v>
      </c>
      <c r="I11" s="4">
        <f>IFERROR(GetRTD(Rtd_Server,P11,StrFieldATP,TRIM(F11),TRIM(G11)),0)</f>
        <v>0</v>
      </c>
      <c r="J11" s="20">
        <f>IFERROR(GetRTD(Rtd_Server,P11,StrFieldVol,TRIM(F11),TRIM(G11)),0)</f>
        <v>0</v>
      </c>
      <c r="K11" s="20">
        <f>IFERROR(GetRTD(Rtd_Server,P11,StrFieldOI,TRIM(F11),TRIM(G11)),0)</f>
        <v>0</v>
      </c>
      <c r="L11" s="32"/>
      <c r="O11" s="4" t="str">
        <f t="shared" si="3"/>
        <v/>
      </c>
      <c r="P11" s="4" t="str">
        <f t="shared" si="1"/>
        <v/>
      </c>
      <c r="Q11" s="16" t="b">
        <f t="shared" si="2"/>
        <v>0</v>
      </c>
      <c r="R11" s="17">
        <f t="shared" si="4"/>
        <v>0</v>
      </c>
    </row>
    <row r="12" spans="2:18" ht="14.25" customHeight="1">
      <c r="B12" s="27"/>
      <c r="C12" s="28"/>
      <c r="E12" s="14" t="s">
        <v>80</v>
      </c>
      <c r="F12" s="2"/>
      <c r="G12" s="2"/>
      <c r="H12" s="4">
        <f>IFERROR(GetRTD(Rtd_Server,P12,StrField,TRIM(F12),TRIM(G12)),0)</f>
        <v>0</v>
      </c>
      <c r="I12" s="4">
        <f>IFERROR(GetRTD(Rtd_Server,P12,StrFieldATP,TRIM(F12),TRIM(G12)),0)</f>
        <v>0</v>
      </c>
      <c r="J12" s="20">
        <f>IFERROR(GetRTD(Rtd_Server,P12,StrFieldVol,TRIM(F12),TRIM(G12)),0)</f>
        <v>0</v>
      </c>
      <c r="K12" s="20">
        <f>IFERROR(GetRTD(Rtd_Server,P12,StrFieldOI,TRIM(F12),TRIM(G12)),0)</f>
        <v>0</v>
      </c>
      <c r="L12" s="32"/>
      <c r="O12" s="4" t="str">
        <f t="shared" si="3"/>
        <v/>
      </c>
      <c r="P12" s="4" t="str">
        <f t="shared" si="1"/>
        <v/>
      </c>
      <c r="Q12" s="16" t="b">
        <f t="shared" si="2"/>
        <v>0</v>
      </c>
      <c r="R12" s="17">
        <f t="shared" si="4"/>
        <v>0</v>
      </c>
    </row>
    <row r="13" spans="2:18" ht="14.25" customHeight="1">
      <c r="B13" s="27"/>
      <c r="C13" s="28"/>
      <c r="E13" s="14" t="s">
        <v>80</v>
      </c>
      <c r="F13" s="2"/>
      <c r="G13" s="2"/>
      <c r="H13" s="4">
        <f>IFERROR(GetRTD(Rtd_Server,P13,StrField,TRIM(F13),TRIM(G13)),0)</f>
        <v>0</v>
      </c>
      <c r="I13" s="4">
        <f>IFERROR(GetRTD(Rtd_Server,P13,StrFieldATP,TRIM(F13),TRIM(G13)),0)</f>
        <v>0</v>
      </c>
      <c r="J13" s="20">
        <f>IFERROR(GetRTD(Rtd_Server,P13,StrFieldVol,TRIM(F13),TRIM(G13)),0)</f>
        <v>0</v>
      </c>
      <c r="K13" s="20">
        <f>IFERROR(GetRTD(Rtd_Server,P13,StrFieldOI,TRIM(F13),TRIM(G13)),0)</f>
        <v>0</v>
      </c>
      <c r="L13" s="32"/>
      <c r="O13" s="4" t="str">
        <f t="shared" si="3"/>
        <v/>
      </c>
      <c r="P13" s="4" t="str">
        <f t="shared" si="1"/>
        <v/>
      </c>
      <c r="Q13" s="16" t="b">
        <f t="shared" si="2"/>
        <v>0</v>
      </c>
      <c r="R13" s="17">
        <f t="shared" si="4"/>
        <v>0</v>
      </c>
    </row>
    <row r="14" spans="2:18" ht="14.25" customHeight="1">
      <c r="B14" s="27"/>
      <c r="C14" s="28"/>
      <c r="E14" s="14" t="s">
        <v>80</v>
      </c>
      <c r="F14" s="2"/>
      <c r="G14" s="2"/>
      <c r="H14" s="4">
        <f>IFERROR(GetRTD(Rtd_Server,P14,StrField,TRIM(F14),TRIM(G14)),0)</f>
        <v>0</v>
      </c>
      <c r="I14" s="4">
        <f>IFERROR(GetRTD(Rtd_Server,P14,StrFieldATP,TRIM(F14),TRIM(G14)),0)</f>
        <v>0</v>
      </c>
      <c r="J14" s="20">
        <f>IFERROR(GetRTD(Rtd_Server,P14,StrFieldVol,TRIM(F14),TRIM(G14)),0)</f>
        <v>0</v>
      </c>
      <c r="K14" s="20">
        <f>IFERROR(GetRTD(Rtd_Server,P14,StrFieldOI,TRIM(F14),TRIM(G14)),0)</f>
        <v>0</v>
      </c>
      <c r="L14" s="32"/>
      <c r="O14" s="4" t="str">
        <f t="shared" si="3"/>
        <v/>
      </c>
      <c r="P14" s="4" t="str">
        <f t="shared" si="1"/>
        <v/>
      </c>
      <c r="Q14" s="16" t="b">
        <f t="shared" si="2"/>
        <v>0</v>
      </c>
      <c r="R14" s="17">
        <f t="shared" si="4"/>
        <v>0</v>
      </c>
    </row>
    <row r="15" spans="2:18" ht="14.25" customHeight="1">
      <c r="B15" s="27"/>
      <c r="C15" s="28"/>
      <c r="E15" s="14" t="s">
        <v>80</v>
      </c>
      <c r="F15" s="2"/>
      <c r="G15" s="2"/>
      <c r="H15" s="4">
        <f>IFERROR(GetRTD(Rtd_Server,P15,StrField,TRIM(F15),TRIM(G15)),0)</f>
        <v>0</v>
      </c>
      <c r="I15" s="4">
        <f>IFERROR(GetRTD(Rtd_Server,P15,StrFieldATP,TRIM(F15),TRIM(G15)),0)</f>
        <v>0</v>
      </c>
      <c r="J15" s="20">
        <f>IFERROR(GetRTD(Rtd_Server,P15,StrFieldVol,TRIM(F15),TRIM(G15)),0)</f>
        <v>0</v>
      </c>
      <c r="K15" s="20">
        <f>IFERROR(GetRTD(Rtd_Server,P15,StrFieldOI,TRIM(F15),TRIM(G15)),0)</f>
        <v>0</v>
      </c>
      <c r="L15" s="32"/>
      <c r="O15" s="4" t="str">
        <f t="shared" si="3"/>
        <v/>
      </c>
      <c r="P15" s="4" t="str">
        <f t="shared" si="1"/>
        <v/>
      </c>
      <c r="Q15" s="16" t="b">
        <f t="shared" si="2"/>
        <v>0</v>
      </c>
      <c r="R15" s="17">
        <f t="shared" si="4"/>
        <v>0</v>
      </c>
    </row>
    <row r="16" spans="2:18" ht="14.25" customHeight="1">
      <c r="B16" s="27"/>
      <c r="C16" s="28"/>
      <c r="E16" s="14" t="s">
        <v>80</v>
      </c>
      <c r="F16" s="2"/>
      <c r="G16" s="2"/>
      <c r="H16" s="4">
        <f>IFERROR(GetRTD(Rtd_Server,P16,StrField,TRIM(F16),TRIM(G16)),0)</f>
        <v>0</v>
      </c>
      <c r="I16" s="4">
        <f>IFERROR(GetRTD(Rtd_Server,P16,StrFieldATP,TRIM(F16),TRIM(G16)),0)</f>
        <v>0</v>
      </c>
      <c r="J16" s="20">
        <f>IFERROR(GetRTD(Rtd_Server,P16,StrFieldVol,TRIM(F16),TRIM(G16)),0)</f>
        <v>0</v>
      </c>
      <c r="K16" s="20">
        <f>IFERROR(GetRTD(Rtd_Server,P16,StrFieldOI,TRIM(F16),TRIM(G16)),0)</f>
        <v>0</v>
      </c>
      <c r="L16" s="32"/>
      <c r="O16" s="4" t="str">
        <f t="shared" si="3"/>
        <v/>
      </c>
      <c r="P16" s="4" t="str">
        <f t="shared" si="1"/>
        <v/>
      </c>
      <c r="Q16" s="16" t="b">
        <f t="shared" si="2"/>
        <v>0</v>
      </c>
      <c r="R16" s="17">
        <f t="shared" si="4"/>
        <v>0</v>
      </c>
    </row>
    <row r="17" spans="2:18" ht="14.25" customHeight="1">
      <c r="B17" s="27"/>
      <c r="C17" s="28"/>
      <c r="E17" s="14" t="s">
        <v>80</v>
      </c>
      <c r="F17" s="2"/>
      <c r="G17" s="2"/>
      <c r="H17" s="4">
        <f>IFERROR(GetRTD(Rtd_Server,P17,StrField,TRIM(F17),TRIM(G17)),0)</f>
        <v>0</v>
      </c>
      <c r="I17" s="4">
        <f>IFERROR(GetRTD(Rtd_Server,P17,StrFieldATP,TRIM(F17),TRIM(G17)),0)</f>
        <v>0</v>
      </c>
      <c r="J17" s="20">
        <f>IFERROR(GetRTD(Rtd_Server,P17,StrFieldVol,TRIM(F17),TRIM(G17)),0)</f>
        <v>0</v>
      </c>
      <c r="K17" s="20">
        <f>IFERROR(GetRTD(Rtd_Server,P17,StrFieldOI,TRIM(F17),TRIM(G17)),0)</f>
        <v>0</v>
      </c>
      <c r="L17" s="32"/>
      <c r="O17" s="4" t="str">
        <f t="shared" si="3"/>
        <v/>
      </c>
      <c r="P17" s="4" t="str">
        <f t="shared" si="1"/>
        <v/>
      </c>
      <c r="Q17" s="16" t="b">
        <f t="shared" si="2"/>
        <v>0</v>
      </c>
      <c r="R17" s="17">
        <f t="shared" si="4"/>
        <v>0</v>
      </c>
    </row>
    <row r="18" spans="2:18" ht="14.25" customHeight="1">
      <c r="B18" s="27"/>
      <c r="C18" s="28"/>
      <c r="E18" s="14" t="s">
        <v>80</v>
      </c>
      <c r="F18" s="2"/>
      <c r="G18" s="2"/>
      <c r="H18" s="4">
        <f>IFERROR(GetRTD(Rtd_Server,P18,StrField,TRIM(F18),TRIM(G18)),0)</f>
        <v>0</v>
      </c>
      <c r="I18" s="4">
        <f>IFERROR(GetRTD(Rtd_Server,P18,StrFieldATP,TRIM(F18),TRIM(G18)),0)</f>
        <v>0</v>
      </c>
      <c r="J18" s="20">
        <f>IFERROR(GetRTD(Rtd_Server,P18,StrFieldVol,TRIM(F18),TRIM(G18)),0)</f>
        <v>0</v>
      </c>
      <c r="K18" s="20">
        <f>IFERROR(GetRTD(Rtd_Server,P18,StrFieldOI,TRIM(F18),TRIM(G18)),0)</f>
        <v>0</v>
      </c>
      <c r="O18" s="4" t="str">
        <f t="shared" si="3"/>
        <v/>
      </c>
      <c r="P18" s="4" t="str">
        <f t="shared" si="1"/>
        <v/>
      </c>
      <c r="Q18" s="16" t="b">
        <f t="shared" si="2"/>
        <v>0</v>
      </c>
      <c r="R18" s="17">
        <f t="shared" si="4"/>
        <v>0</v>
      </c>
    </row>
    <row r="19" spans="2:18" ht="14.25" customHeight="1">
      <c r="B19" s="27"/>
      <c r="C19" s="28"/>
      <c r="E19" s="14" t="s">
        <v>80</v>
      </c>
      <c r="F19" s="2"/>
      <c r="G19" s="2"/>
      <c r="H19" s="4">
        <f>IFERROR(GetRTD(Rtd_Server,P19,StrField,TRIM(F19),TRIM(G19)),0)</f>
        <v>0</v>
      </c>
      <c r="I19" s="4">
        <f>IFERROR(GetRTD(Rtd_Server,P19,StrFieldATP,TRIM(F19),TRIM(G19)),0)</f>
        <v>0</v>
      </c>
      <c r="J19" s="20">
        <f>IFERROR(GetRTD(Rtd_Server,P19,StrFieldVol,TRIM(F19),TRIM(G19)),0)</f>
        <v>0</v>
      </c>
      <c r="K19" s="20">
        <f>IFERROR(GetRTD(Rtd_Server,P19,StrFieldOI,TRIM(F19),TRIM(G19)),0)</f>
        <v>0</v>
      </c>
      <c r="O19" s="4" t="str">
        <f t="shared" si="3"/>
        <v/>
      </c>
      <c r="P19" s="4" t="str">
        <f t="shared" si="1"/>
        <v/>
      </c>
      <c r="Q19" s="16" t="b">
        <f t="shared" si="2"/>
        <v>0</v>
      </c>
      <c r="R19" s="17">
        <f t="shared" si="4"/>
        <v>0</v>
      </c>
    </row>
    <row r="20" spans="2:18" ht="14.25" customHeight="1">
      <c r="B20" s="27"/>
      <c r="C20" s="28"/>
      <c r="E20" s="14" t="s">
        <v>80</v>
      </c>
      <c r="F20" s="2"/>
      <c r="G20" s="2"/>
      <c r="H20" s="4">
        <f>IFERROR(GetRTD(Rtd_Server,P20,StrField,TRIM(F20),TRIM(G20)),0)</f>
        <v>0</v>
      </c>
      <c r="I20" s="4">
        <f>IFERROR(GetRTD(Rtd_Server,P20,StrFieldATP,TRIM(F20),TRIM(G20)),0)</f>
        <v>0</v>
      </c>
      <c r="J20" s="20">
        <f>IFERROR(GetRTD(Rtd_Server,P20,StrFieldVol,TRIM(F20),TRIM(G20)),0)</f>
        <v>0</v>
      </c>
      <c r="K20" s="20">
        <f>IFERROR(GetRTD(Rtd_Server,P20,StrFieldOI,TRIM(F20),TRIM(G20)),0)</f>
        <v>0</v>
      </c>
      <c r="O20" s="4" t="str">
        <f t="shared" si="3"/>
        <v/>
      </c>
      <c r="P20" s="4" t="str">
        <f t="shared" si="1"/>
        <v/>
      </c>
      <c r="Q20" s="16" t="b">
        <f t="shared" si="2"/>
        <v>0</v>
      </c>
      <c r="R20" s="17">
        <f t="shared" si="4"/>
        <v>0</v>
      </c>
    </row>
    <row r="21" spans="2:18" ht="14.25" customHeight="1">
      <c r="B21" s="27"/>
      <c r="C21" s="28"/>
      <c r="E21" s="14" t="s">
        <v>80</v>
      </c>
      <c r="F21" s="2"/>
      <c r="G21" s="2"/>
      <c r="H21" s="4">
        <f>IFERROR(GetRTD(Rtd_Server,P21,StrField,TRIM(F21),TRIM(G21)),0)</f>
        <v>0</v>
      </c>
      <c r="I21" s="4">
        <f>IFERROR(GetRTD(Rtd_Server,P21,StrFieldATP,TRIM(F21),TRIM(G21)),0)</f>
        <v>0</v>
      </c>
      <c r="J21" s="20">
        <f>IFERROR(GetRTD(Rtd_Server,P21,StrFieldVol,TRIM(F21),TRIM(G21)),0)</f>
        <v>0</v>
      </c>
      <c r="K21" s="20">
        <f>IFERROR(GetRTD(Rtd_Server,P21,StrFieldOI,TRIM(F21),TRIM(G21)),0)</f>
        <v>0</v>
      </c>
      <c r="O21" s="4" t="str">
        <f t="shared" si="3"/>
        <v/>
      </c>
      <c r="P21" s="4" t="str">
        <f t="shared" si="1"/>
        <v/>
      </c>
      <c r="Q21" s="16" t="b">
        <f t="shared" si="2"/>
        <v>0</v>
      </c>
      <c r="R21" s="17">
        <f t="shared" si="4"/>
        <v>0</v>
      </c>
    </row>
    <row r="22" spans="2:18" ht="14.25" customHeight="1">
      <c r="B22" s="27"/>
      <c r="C22" s="28"/>
      <c r="E22" s="14" t="s">
        <v>80</v>
      </c>
      <c r="F22" s="2"/>
      <c r="G22" s="2"/>
      <c r="H22" s="4">
        <f>IFERROR(GetRTD(Rtd_Server,P22,StrField,TRIM(F22),TRIM(G22)),0)</f>
        <v>0</v>
      </c>
      <c r="I22" s="4">
        <f>IFERROR(GetRTD(Rtd_Server,P22,StrFieldATP,TRIM(F22),TRIM(G22)),0)</f>
        <v>0</v>
      </c>
      <c r="J22" s="20">
        <f>IFERROR(GetRTD(Rtd_Server,P22,StrFieldVol,TRIM(F22),TRIM(G22)),0)</f>
        <v>0</v>
      </c>
      <c r="K22" s="20">
        <f>IFERROR(GetRTD(Rtd_Server,P22,StrFieldOI,TRIM(F22),TRIM(G22)),0)</f>
        <v>0</v>
      </c>
      <c r="O22" s="4" t="str">
        <f t="shared" si="3"/>
        <v/>
      </c>
      <c r="P22" s="4" t="str">
        <f t="shared" si="1"/>
        <v/>
      </c>
      <c r="Q22" s="16" t="b">
        <f t="shared" si="2"/>
        <v>0</v>
      </c>
      <c r="R22" s="17">
        <f t="shared" si="4"/>
        <v>0</v>
      </c>
    </row>
    <row r="23" spans="2:18" ht="14.25" customHeight="1">
      <c r="B23" s="27"/>
      <c r="C23" s="28"/>
      <c r="E23" s="14" t="s">
        <v>80</v>
      </c>
      <c r="F23" s="2"/>
      <c r="G23" s="2"/>
      <c r="H23" s="4">
        <f>IFERROR(GetRTD(Rtd_Server,P23,StrField,TRIM(F23),TRIM(G23)),0)</f>
        <v>0</v>
      </c>
      <c r="I23" s="4">
        <f>IFERROR(GetRTD(Rtd_Server,P23,StrFieldATP,TRIM(F23),TRIM(G23)),0)</f>
        <v>0</v>
      </c>
      <c r="J23" s="20">
        <f>IFERROR(GetRTD(Rtd_Server,P23,StrFieldVol,TRIM(F23),TRIM(G23)),0)</f>
        <v>0</v>
      </c>
      <c r="K23" s="20">
        <f>IFERROR(GetRTD(Rtd_Server,P23,StrFieldOI,TRIM(F23),TRIM(G23)),0)</f>
        <v>0</v>
      </c>
      <c r="O23" s="4" t="str">
        <f t="shared" si="3"/>
        <v/>
      </c>
      <c r="P23" s="4" t="str">
        <f t="shared" si="1"/>
        <v/>
      </c>
      <c r="Q23" s="16" t="b">
        <f t="shared" si="2"/>
        <v>0</v>
      </c>
      <c r="R23" s="17">
        <f t="shared" si="4"/>
        <v>0</v>
      </c>
    </row>
    <row r="24" spans="2:18" ht="14.25" customHeight="1">
      <c r="B24" s="29"/>
      <c r="C24" s="30"/>
      <c r="E24" s="14" t="s">
        <v>80</v>
      </c>
      <c r="F24" s="2"/>
      <c r="G24" s="2"/>
      <c r="H24" s="4">
        <f>IFERROR(GetRTD(Rtd_Server,P24,StrField,TRIM(F24),TRIM(G24)),0)</f>
        <v>0</v>
      </c>
      <c r="I24" s="4">
        <f>IFERROR(GetRTD(Rtd_Server,P24,StrFieldATP,TRIM(F24),TRIM(G24)),0)</f>
        <v>0</v>
      </c>
      <c r="J24" s="20">
        <f>IFERROR(GetRTD(Rtd_Server,P24,StrFieldVol,TRIM(F24),TRIM(G24)),0)</f>
        <v>0</v>
      </c>
      <c r="K24" s="20">
        <f>IFERROR(GetRTD(Rtd_Server,P24,StrFieldOI,TRIM(F24),TRIM(G24)),0)</f>
        <v>0</v>
      </c>
      <c r="O24" s="4" t="str">
        <f t="shared" si="3"/>
        <v/>
      </c>
      <c r="P24" s="4" t="str">
        <f t="shared" si="1"/>
        <v/>
      </c>
      <c r="Q24" s="16" t="b">
        <f t="shared" si="2"/>
        <v>0</v>
      </c>
      <c r="R24" s="17">
        <f t="shared" si="4"/>
        <v>0</v>
      </c>
    </row>
    <row r="25" spans="2:18" ht="14.25" customHeight="1">
      <c r="B25" s="21"/>
      <c r="C25" s="21"/>
      <c r="E25" s="14" t="s">
        <v>80</v>
      </c>
      <c r="F25" s="2"/>
      <c r="G25" s="2"/>
      <c r="H25" s="4">
        <f>IFERROR(GetRTD(Rtd_Server,P25,StrField,TRIM(F25),TRIM(G25)),0)</f>
        <v>0</v>
      </c>
      <c r="I25" s="4">
        <f>IFERROR(GetRTD(Rtd_Server,P25,StrFieldATP,TRIM(F25),TRIM(G25)),0)</f>
        <v>0</v>
      </c>
      <c r="J25" s="20">
        <f>IFERROR(GetRTD(Rtd_Server,P25,StrFieldVol,TRIM(F25),TRIM(G25)),0)</f>
        <v>0</v>
      </c>
      <c r="K25" s="20">
        <f>IFERROR(GetRTD(Rtd_Server,P25,StrFieldOI,TRIM(F25),TRIM(G25)),0)</f>
        <v>0</v>
      </c>
      <c r="O25" s="4" t="str">
        <f t="shared" si="3"/>
        <v/>
      </c>
      <c r="P25" s="4" t="str">
        <f t="shared" si="1"/>
        <v/>
      </c>
      <c r="Q25" s="16" t="b">
        <f t="shared" si="2"/>
        <v>0</v>
      </c>
      <c r="R25" s="17">
        <f t="shared" si="4"/>
        <v>0</v>
      </c>
    </row>
    <row r="26" spans="2:18" ht="14.25" customHeight="1">
      <c r="B26" s="21"/>
      <c r="C26" s="21"/>
      <c r="E26" s="14" t="s">
        <v>80</v>
      </c>
      <c r="F26" s="2"/>
      <c r="G26" s="2"/>
      <c r="H26" s="4">
        <f>IFERROR(GetRTD(Rtd_Server,P26,StrField,TRIM(F26),TRIM(G26)),0)</f>
        <v>0</v>
      </c>
      <c r="I26" s="4">
        <f>IFERROR(GetRTD(Rtd_Server,P26,StrFieldATP,TRIM(F26),TRIM(G26)),0)</f>
        <v>0</v>
      </c>
      <c r="J26" s="20">
        <f>IFERROR(GetRTD(Rtd_Server,P26,StrFieldVol,TRIM(F26),TRIM(G26)),0)</f>
        <v>0</v>
      </c>
      <c r="K26" s="20">
        <f>IFERROR(GetRTD(Rtd_Server,P26,StrFieldOI,TRIM(F26),TRIM(G26)),0)</f>
        <v>0</v>
      </c>
      <c r="O26" s="4" t="str">
        <f t="shared" si="3"/>
        <v/>
      </c>
      <c r="P26" s="4" t="str">
        <f t="shared" si="1"/>
        <v/>
      </c>
      <c r="Q26" s="16" t="b">
        <f t="shared" si="2"/>
        <v>0</v>
      </c>
      <c r="R26" s="17">
        <f t="shared" si="4"/>
        <v>0</v>
      </c>
    </row>
    <row r="27" spans="2:18" ht="14.25" customHeight="1">
      <c r="B27" s="21"/>
      <c r="C27" s="21"/>
      <c r="E27" s="14" t="s">
        <v>80</v>
      </c>
      <c r="F27" s="2"/>
      <c r="G27" s="2"/>
      <c r="H27" s="4">
        <f>IFERROR(GetRTD(Rtd_Server,P27,StrField,TRIM(F27),TRIM(G27)),0)</f>
        <v>0</v>
      </c>
      <c r="I27" s="4">
        <f>IFERROR(GetRTD(Rtd_Server,P27,StrFieldATP,TRIM(F27),TRIM(G27)),0)</f>
        <v>0</v>
      </c>
      <c r="J27" s="20">
        <f>IFERROR(GetRTD(Rtd_Server,P27,StrFieldVol,TRIM(F27),TRIM(G27)),0)</f>
        <v>0</v>
      </c>
      <c r="K27" s="20">
        <f>IFERROR(GetRTD(Rtd_Server,P27,StrFieldOI,TRIM(F27),TRIM(G27)),0)</f>
        <v>0</v>
      </c>
      <c r="O27" s="4" t="str">
        <f t="shared" si="3"/>
        <v/>
      </c>
      <c r="P27" s="4" t="str">
        <f t="shared" si="1"/>
        <v/>
      </c>
      <c r="Q27" s="16" t="b">
        <f t="shared" si="2"/>
        <v>0</v>
      </c>
      <c r="R27" s="17">
        <f t="shared" si="4"/>
        <v>0</v>
      </c>
    </row>
    <row r="28" spans="2:18" ht="14.25" customHeight="1">
      <c r="B28" s="21"/>
      <c r="C28" s="21"/>
      <c r="E28" s="14" t="s">
        <v>80</v>
      </c>
      <c r="F28" s="2"/>
      <c r="G28" s="2"/>
      <c r="H28" s="4">
        <f>IFERROR(GetRTD(Rtd_Server,P28,StrField,TRIM(F28),TRIM(G28)),0)</f>
        <v>0</v>
      </c>
      <c r="I28" s="4">
        <f>IFERROR(GetRTD(Rtd_Server,P28,StrFieldATP,TRIM(F28),TRIM(G28)),0)</f>
        <v>0</v>
      </c>
      <c r="J28" s="20">
        <f>IFERROR(GetRTD(Rtd_Server,P28,StrFieldVol,TRIM(F28),TRIM(G28)),0)</f>
        <v>0</v>
      </c>
      <c r="K28" s="20">
        <f>IFERROR(GetRTD(Rtd_Server,P28,StrFieldOI,TRIM(F28),TRIM(G28)),0)</f>
        <v>0</v>
      </c>
      <c r="O28" s="4" t="str">
        <f t="shared" si="3"/>
        <v/>
      </c>
      <c r="P28" s="4" t="str">
        <f t="shared" si="1"/>
        <v/>
      </c>
      <c r="Q28" s="16" t="b">
        <f t="shared" si="2"/>
        <v>0</v>
      </c>
      <c r="R28" s="17">
        <f t="shared" si="4"/>
        <v>0</v>
      </c>
    </row>
    <row r="29" spans="2:18" ht="14.25" customHeight="1">
      <c r="E29" s="14" t="s">
        <v>80</v>
      </c>
      <c r="F29" s="2"/>
      <c r="G29" s="2"/>
      <c r="H29" s="4">
        <f>IFERROR(GetRTD(Rtd_Server,P29,StrField,TRIM(F29),TRIM(G29)),0)</f>
        <v>0</v>
      </c>
      <c r="I29" s="4">
        <f>IFERROR(GetRTD(Rtd_Server,P29,StrFieldATP,TRIM(F29),TRIM(G29)),0)</f>
        <v>0</v>
      </c>
      <c r="J29" s="20">
        <f>IFERROR(GetRTD(Rtd_Server,P29,StrFieldVol,TRIM(F29),TRIM(G29)),0)</f>
        <v>0</v>
      </c>
      <c r="K29" s="20">
        <f>IFERROR(GetRTD(Rtd_Server,P29,StrFieldOI,TRIM(F29),TRIM(G29)),0)</f>
        <v>0</v>
      </c>
      <c r="O29" s="4" t="str">
        <f t="shared" si="3"/>
        <v/>
      </c>
      <c r="P29" s="4" t="str">
        <f t="shared" si="1"/>
        <v/>
      </c>
      <c r="Q29" s="16" t="b">
        <f t="shared" si="2"/>
        <v>0</v>
      </c>
      <c r="R29" s="17">
        <f t="shared" si="4"/>
        <v>0</v>
      </c>
    </row>
    <row r="30" spans="2:18" ht="14.25" customHeight="1">
      <c r="E30" s="14" t="s">
        <v>80</v>
      </c>
      <c r="F30" s="2"/>
      <c r="G30" s="2"/>
      <c r="H30" s="4">
        <f>IFERROR(GetRTD(Rtd_Server,P30,StrField,TRIM(F30),TRIM(G30)),0)</f>
        <v>0</v>
      </c>
      <c r="I30" s="4">
        <f>IFERROR(GetRTD(Rtd_Server,P30,StrFieldATP,TRIM(F30),TRIM(G30)),0)</f>
        <v>0</v>
      </c>
      <c r="J30" s="20">
        <f>IFERROR(GetRTD(Rtd_Server,P30,StrFieldVol,TRIM(F30),TRIM(G30)),0)</f>
        <v>0</v>
      </c>
      <c r="K30" s="20">
        <f>IFERROR(GetRTD(Rtd_Server,P30,StrFieldOI,TRIM(F30),TRIM(G30)),0)</f>
        <v>0</v>
      </c>
      <c r="O30" s="4" t="str">
        <f t="shared" si="3"/>
        <v/>
      </c>
      <c r="P30" s="4" t="str">
        <f t="shared" si="1"/>
        <v/>
      </c>
      <c r="Q30" s="16" t="b">
        <f t="shared" si="2"/>
        <v>0</v>
      </c>
      <c r="R30" s="17">
        <f t="shared" si="4"/>
        <v>0</v>
      </c>
    </row>
    <row r="31" spans="2:18" ht="14.25" customHeight="1">
      <c r="E31" s="14" t="s">
        <v>80</v>
      </c>
      <c r="F31" s="2"/>
      <c r="G31" s="2"/>
      <c r="H31" s="4">
        <f>IFERROR(GetRTD(Rtd_Server,P31,StrField,TRIM(F31),TRIM(G31)),0)</f>
        <v>0</v>
      </c>
      <c r="I31" s="4">
        <f>IFERROR(GetRTD(Rtd_Server,P31,StrFieldATP,TRIM(F31),TRIM(G31)),0)</f>
        <v>0</v>
      </c>
      <c r="J31" s="20">
        <f>IFERROR(GetRTD(Rtd_Server,P31,StrFieldVol,TRIM(F31),TRIM(G31)),0)</f>
        <v>0</v>
      </c>
      <c r="K31" s="20">
        <f>IFERROR(GetRTD(Rtd_Server,P31,StrFieldOI,TRIM(F31),TRIM(G31)),0)</f>
        <v>0</v>
      </c>
      <c r="O31" s="4" t="str">
        <f t="shared" si="3"/>
        <v/>
      </c>
      <c r="P31" s="4" t="str">
        <f t="shared" si="1"/>
        <v/>
      </c>
      <c r="Q31" s="16" t="b">
        <f t="shared" si="2"/>
        <v>0</v>
      </c>
      <c r="R31" s="17">
        <f t="shared" si="4"/>
        <v>0</v>
      </c>
    </row>
    <row r="32" spans="2:18" ht="14.25" customHeight="1">
      <c r="E32" s="14" t="s">
        <v>80</v>
      </c>
      <c r="F32" s="2"/>
      <c r="G32" s="2"/>
      <c r="H32" s="4">
        <f>IFERROR(GetRTD(Rtd_Server,P32,StrField,TRIM(F32),TRIM(G32)),0)</f>
        <v>0</v>
      </c>
      <c r="I32" s="4">
        <f>IFERROR(GetRTD(Rtd_Server,P32,StrFieldATP,TRIM(F32),TRIM(G32)),0)</f>
        <v>0</v>
      </c>
      <c r="J32" s="20">
        <f>IFERROR(GetRTD(Rtd_Server,P32,StrFieldVol,TRIM(F32),TRIM(G32)),0)</f>
        <v>0</v>
      </c>
      <c r="K32" s="20">
        <f>IFERROR(GetRTD(Rtd_Server,P32,StrFieldOI,TRIM(F32),TRIM(G32)),0)</f>
        <v>0</v>
      </c>
      <c r="O32" s="4" t="str">
        <f t="shared" si="3"/>
        <v/>
      </c>
      <c r="P32" s="4" t="str">
        <f t="shared" si="1"/>
        <v/>
      </c>
      <c r="Q32" s="16" t="b">
        <f t="shared" si="2"/>
        <v>0</v>
      </c>
      <c r="R32" s="17">
        <f t="shared" si="4"/>
        <v>0</v>
      </c>
    </row>
    <row r="33" spans="5:18" ht="14.25" customHeight="1">
      <c r="E33" s="14" t="s">
        <v>80</v>
      </c>
      <c r="F33" s="2"/>
      <c r="G33" s="2"/>
      <c r="H33" s="4">
        <f>IFERROR(GetRTD(Rtd_Server,P33,StrField,TRIM(F33),TRIM(G33)),0)</f>
        <v>0</v>
      </c>
      <c r="I33" s="4">
        <f>IFERROR(GetRTD(Rtd_Server,P33,StrFieldATP,TRIM(F33),TRIM(G33)),0)</f>
        <v>0</v>
      </c>
      <c r="J33" s="20">
        <f>IFERROR(GetRTD(Rtd_Server,P33,StrFieldVol,TRIM(F33),TRIM(G33)),0)</f>
        <v>0</v>
      </c>
      <c r="K33" s="20">
        <f>IFERROR(GetRTD(Rtd_Server,P33,StrFieldOI,TRIM(F33),TRIM(G33)),0)</f>
        <v>0</v>
      </c>
      <c r="O33" s="4" t="str">
        <f t="shared" si="3"/>
        <v/>
      </c>
      <c r="P33" s="4" t="str">
        <f t="shared" si="1"/>
        <v/>
      </c>
      <c r="Q33" s="16" t="b">
        <f t="shared" si="2"/>
        <v>0</v>
      </c>
      <c r="R33" s="17">
        <f t="shared" si="4"/>
        <v>0</v>
      </c>
    </row>
    <row r="34" spans="5:18" ht="14.25" customHeight="1">
      <c r="E34" s="14" t="s">
        <v>80</v>
      </c>
      <c r="F34" s="2"/>
      <c r="G34" s="2"/>
      <c r="H34" s="4">
        <f>IFERROR(GetRTD(Rtd_Server,P34,StrField,TRIM(F34),TRIM(G34)),0)</f>
        <v>0</v>
      </c>
      <c r="I34" s="4">
        <f>IFERROR(GetRTD(Rtd_Server,P34,StrFieldATP,TRIM(F34),TRIM(G34)),0)</f>
        <v>0</v>
      </c>
      <c r="J34" s="20">
        <f>IFERROR(GetRTD(Rtd_Server,P34,StrFieldVol,TRIM(F34),TRIM(G34)),0)</f>
        <v>0</v>
      </c>
      <c r="K34" s="20">
        <f>IFERROR(GetRTD(Rtd_Server,P34,StrFieldOI,TRIM(F34),TRIM(G34)),0)</f>
        <v>0</v>
      </c>
      <c r="O34" s="4" t="str">
        <f t="shared" si="3"/>
        <v/>
      </c>
      <c r="P34" s="4" t="str">
        <f t="shared" ref="P34:P65" si="5">IF(OR(F34="",G34=""),"",O34&amp;Seperator&amp;UPPER(G34))</f>
        <v/>
      </c>
      <c r="Q34" s="16" t="b">
        <f t="shared" ref="Q34:Q65" si="6">LogValue(G34, Field, H34, I34, J34, K34)</f>
        <v>0</v>
      </c>
      <c r="R34" s="17">
        <f t="shared" si="4"/>
        <v>0</v>
      </c>
    </row>
    <row r="35" spans="5:18" ht="14.25" customHeight="1">
      <c r="E35" s="14" t="s">
        <v>80</v>
      </c>
      <c r="F35" s="2"/>
      <c r="G35" s="2"/>
      <c r="H35" s="4">
        <f>IFERROR(GetRTD(Rtd_Server,P35,StrField,TRIM(F35),TRIM(G35)),0)</f>
        <v>0</v>
      </c>
      <c r="I35" s="4">
        <f>IFERROR(GetRTD(Rtd_Server,P35,StrFieldATP,TRIM(F35),TRIM(G35)),0)</f>
        <v>0</v>
      </c>
      <c r="J35" s="20">
        <f>IFERROR(GetRTD(Rtd_Server,P35,StrFieldVol,TRIM(F35),TRIM(G35)),0)</f>
        <v>0</v>
      </c>
      <c r="K35" s="20">
        <f>IFERROR(GetRTD(Rtd_Server,P35,StrFieldOI,TRIM(F35),TRIM(G35)),0)</f>
        <v>0</v>
      </c>
      <c r="O35" s="4" t="str">
        <f t="shared" si="3"/>
        <v/>
      </c>
      <c r="P35" s="4" t="str">
        <f t="shared" si="5"/>
        <v/>
      </c>
      <c r="Q35" s="16" t="b">
        <f t="shared" si="6"/>
        <v>0</v>
      </c>
      <c r="R35" s="17">
        <f t="shared" si="4"/>
        <v>0</v>
      </c>
    </row>
    <row r="36" spans="5:18" ht="14.25" customHeight="1">
      <c r="E36" s="14" t="s">
        <v>80</v>
      </c>
      <c r="F36" s="2"/>
      <c r="G36" s="2"/>
      <c r="H36" s="4">
        <f>IFERROR(GetRTD(Rtd_Server,P36,StrField,TRIM(F36),TRIM(G36)),0)</f>
        <v>0</v>
      </c>
      <c r="I36" s="4">
        <f>IFERROR(GetRTD(Rtd_Server,P36,StrFieldATP,TRIM(F36),TRIM(G36)),0)</f>
        <v>0</v>
      </c>
      <c r="J36" s="20">
        <f>IFERROR(GetRTD(Rtd_Server,P36,StrFieldVol,TRIM(F36),TRIM(G36)),0)</f>
        <v>0</v>
      </c>
      <c r="K36" s="20">
        <f>IFERROR(GetRTD(Rtd_Server,P36,StrFieldOI,TRIM(F36),TRIM(G36)),0)</f>
        <v>0</v>
      </c>
      <c r="O36" s="4" t="str">
        <f t="shared" si="3"/>
        <v/>
      </c>
      <c r="P36" s="4" t="str">
        <f t="shared" si="5"/>
        <v/>
      </c>
      <c r="Q36" s="16" t="b">
        <f t="shared" si="6"/>
        <v>0</v>
      </c>
      <c r="R36" s="17">
        <f t="shared" si="4"/>
        <v>0</v>
      </c>
    </row>
    <row r="37" spans="5:18" ht="14.25" customHeight="1">
      <c r="E37" s="14" t="s">
        <v>80</v>
      </c>
      <c r="F37" s="2"/>
      <c r="G37" s="2"/>
      <c r="H37" s="4">
        <f>IFERROR(GetRTD(Rtd_Server,P37,StrField,TRIM(F37),TRIM(G37)),0)</f>
        <v>0</v>
      </c>
      <c r="I37" s="4">
        <f>IFERROR(GetRTD(Rtd_Server,P37,StrFieldATP,TRIM(F37),TRIM(G37)),0)</f>
        <v>0</v>
      </c>
      <c r="J37" s="20">
        <f>IFERROR(GetRTD(Rtd_Server,P37,StrFieldVol,TRIM(F37),TRIM(G37)),0)</f>
        <v>0</v>
      </c>
      <c r="K37" s="20">
        <f>IFERROR(GetRTD(Rtd_Server,P37,StrFieldOI,TRIM(F37),TRIM(G37)),0)</f>
        <v>0</v>
      </c>
      <c r="O37" s="4" t="str">
        <f t="shared" si="3"/>
        <v/>
      </c>
      <c r="P37" s="4" t="str">
        <f t="shared" si="5"/>
        <v/>
      </c>
      <c r="Q37" s="16" t="b">
        <f t="shared" si="6"/>
        <v>0</v>
      </c>
      <c r="R37" s="17">
        <f t="shared" si="4"/>
        <v>0</v>
      </c>
    </row>
    <row r="38" spans="5:18" ht="14.25" customHeight="1">
      <c r="E38" s="14" t="s">
        <v>80</v>
      </c>
      <c r="F38" s="2"/>
      <c r="G38" s="2"/>
      <c r="H38" s="4">
        <f>IFERROR(GetRTD(Rtd_Server,P38,StrField,TRIM(F38),TRIM(G38)),0)</f>
        <v>0</v>
      </c>
      <c r="I38" s="4">
        <f>IFERROR(GetRTD(Rtd_Server,P38,StrFieldATP,TRIM(F38),TRIM(G38)),0)</f>
        <v>0</v>
      </c>
      <c r="J38" s="20">
        <f>IFERROR(GetRTD(Rtd_Server,P38,StrFieldVol,TRIM(F38),TRIM(G38)),0)</f>
        <v>0</v>
      </c>
      <c r="K38" s="20">
        <f>IFERROR(GetRTD(Rtd_Server,P38,StrFieldOI,TRIM(F38),TRIM(G38)),0)</f>
        <v>0</v>
      </c>
      <c r="O38" s="4" t="str">
        <f t="shared" si="3"/>
        <v/>
      </c>
      <c r="P38" s="4" t="str">
        <f t="shared" si="5"/>
        <v/>
      </c>
      <c r="Q38" s="16" t="b">
        <f t="shared" si="6"/>
        <v>0</v>
      </c>
      <c r="R38" s="17">
        <f t="shared" si="4"/>
        <v>0</v>
      </c>
    </row>
    <row r="39" spans="5:18" ht="14.25" customHeight="1">
      <c r="E39" s="14" t="s">
        <v>80</v>
      </c>
      <c r="F39" s="2"/>
      <c r="G39" s="2"/>
      <c r="H39" s="4">
        <f>IFERROR(GetRTD(Rtd_Server,P39,StrField,TRIM(F39),TRIM(G39)),0)</f>
        <v>0</v>
      </c>
      <c r="I39" s="4">
        <f>IFERROR(GetRTD(Rtd_Server,P39,StrFieldATP,TRIM(F39),TRIM(G39)),0)</f>
        <v>0</v>
      </c>
      <c r="J39" s="20">
        <f>IFERROR(GetRTD(Rtd_Server,P39,StrFieldVol,TRIM(F39),TRIM(G39)),0)</f>
        <v>0</v>
      </c>
      <c r="K39" s="20">
        <f>IFERROR(GetRTD(Rtd_Server,P39,StrFieldOI,TRIM(F39),TRIM(G39)),0)</f>
        <v>0</v>
      </c>
      <c r="O39" s="4" t="str">
        <f t="shared" si="3"/>
        <v/>
      </c>
      <c r="P39" s="4" t="str">
        <f t="shared" si="5"/>
        <v/>
      </c>
      <c r="Q39" s="16" t="b">
        <f t="shared" si="6"/>
        <v>0</v>
      </c>
      <c r="R39" s="17">
        <f t="shared" si="4"/>
        <v>0</v>
      </c>
    </row>
    <row r="40" spans="5:18" ht="14.25" customHeight="1">
      <c r="E40" s="14" t="s">
        <v>80</v>
      </c>
      <c r="F40" s="2"/>
      <c r="G40" s="2"/>
      <c r="H40" s="4">
        <f>IFERROR(GetRTD(Rtd_Server,P40,StrField,TRIM(F40),TRIM(G40)),0)</f>
        <v>0</v>
      </c>
      <c r="I40" s="4">
        <f>IFERROR(GetRTD(Rtd_Server,P40,StrFieldATP,TRIM(F40),TRIM(G40)),0)</f>
        <v>0</v>
      </c>
      <c r="J40" s="20">
        <f>IFERROR(GetRTD(Rtd_Server,P40,StrFieldVol,TRIM(F40),TRIM(G40)),0)</f>
        <v>0</v>
      </c>
      <c r="K40" s="20">
        <f>IFERROR(GetRTD(Rtd_Server,P40,StrFieldOI,TRIM(F40),TRIM(G40)),0)</f>
        <v>0</v>
      </c>
      <c r="O40" s="4" t="str">
        <f t="shared" si="3"/>
        <v/>
      </c>
      <c r="P40" s="4" t="str">
        <f t="shared" si="5"/>
        <v/>
      </c>
      <c r="Q40" s="16" t="b">
        <f t="shared" si="6"/>
        <v>0</v>
      </c>
      <c r="R40" s="17">
        <f t="shared" si="4"/>
        <v>0</v>
      </c>
    </row>
    <row r="41" spans="5:18" ht="14.25" customHeight="1">
      <c r="E41" s="14" t="s">
        <v>80</v>
      </c>
      <c r="F41" s="2"/>
      <c r="G41" s="2"/>
      <c r="H41" s="4">
        <f>IFERROR(GetRTD(Rtd_Server,P41,StrField,TRIM(F41),TRIM(G41)),0)</f>
        <v>0</v>
      </c>
      <c r="I41" s="4">
        <f>IFERROR(GetRTD(Rtd_Server,P41,StrFieldATP,TRIM(F41),TRIM(G41)),0)</f>
        <v>0</v>
      </c>
      <c r="J41" s="20">
        <f>IFERROR(GetRTD(Rtd_Server,P41,StrFieldVol,TRIM(F41),TRIM(G41)),0)</f>
        <v>0</v>
      </c>
      <c r="K41" s="20">
        <f>IFERROR(GetRTD(Rtd_Server,P41,StrFieldOI,TRIM(F41),TRIM(G41)),0)</f>
        <v>0</v>
      </c>
      <c r="O41" s="4" t="str">
        <f t="shared" si="3"/>
        <v/>
      </c>
      <c r="P41" s="4" t="str">
        <f t="shared" si="5"/>
        <v/>
      </c>
      <c r="Q41" s="16" t="b">
        <f t="shared" si="6"/>
        <v>0</v>
      </c>
      <c r="R41" s="17">
        <f t="shared" si="4"/>
        <v>0</v>
      </c>
    </row>
    <row r="42" spans="5:18" ht="14.25" customHeight="1">
      <c r="E42" s="14" t="s">
        <v>80</v>
      </c>
      <c r="F42" s="2"/>
      <c r="G42" s="2"/>
      <c r="H42" s="4">
        <f>IFERROR(GetRTD(Rtd_Server,P42,StrField,TRIM(F42),TRIM(G42)),0)</f>
        <v>0</v>
      </c>
      <c r="I42" s="4">
        <f>IFERROR(GetRTD(Rtd_Server,P42,StrFieldATP,TRIM(F42),TRIM(G42)),0)</f>
        <v>0</v>
      </c>
      <c r="J42" s="20">
        <f>IFERROR(GetRTD(Rtd_Server,P42,StrFieldVol,TRIM(F42),TRIM(G42)),0)</f>
        <v>0</v>
      </c>
      <c r="K42" s="20">
        <f>IFERROR(GetRTD(Rtd_Server,P42,StrFieldOI,TRIM(F42),TRIM(G42)),0)</f>
        <v>0</v>
      </c>
      <c r="O42" s="4" t="str">
        <f t="shared" si="3"/>
        <v/>
      </c>
      <c r="P42" s="4" t="str">
        <f t="shared" si="5"/>
        <v/>
      </c>
      <c r="Q42" s="16" t="b">
        <f t="shared" si="6"/>
        <v>0</v>
      </c>
      <c r="R42" s="17">
        <f t="shared" si="4"/>
        <v>0</v>
      </c>
    </row>
    <row r="43" spans="5:18" ht="14.25" customHeight="1">
      <c r="E43" s="14" t="s">
        <v>80</v>
      </c>
      <c r="F43" s="2"/>
      <c r="G43" s="2"/>
      <c r="H43" s="4">
        <f>IFERROR(GetRTD(Rtd_Server,P43,StrField,TRIM(F43),TRIM(G43)),0)</f>
        <v>0</v>
      </c>
      <c r="I43" s="4">
        <f>IFERROR(GetRTD(Rtd_Server,P43,StrFieldATP,TRIM(F43),TRIM(G43)),0)</f>
        <v>0</v>
      </c>
      <c r="J43" s="20">
        <f>IFERROR(GetRTD(Rtd_Server,P43,StrFieldVol,TRIM(F43),TRIM(G43)),0)</f>
        <v>0</v>
      </c>
      <c r="K43" s="20">
        <f>IFERROR(GetRTD(Rtd_Server,P43,StrFieldOI,TRIM(F43),TRIM(G43)),0)</f>
        <v>0</v>
      </c>
      <c r="O43" s="4" t="str">
        <f t="shared" si="3"/>
        <v/>
      </c>
      <c r="P43" s="4" t="str">
        <f t="shared" si="5"/>
        <v/>
      </c>
      <c r="Q43" s="16" t="b">
        <f t="shared" si="6"/>
        <v>0</v>
      </c>
      <c r="R43" s="17">
        <f t="shared" si="4"/>
        <v>0</v>
      </c>
    </row>
    <row r="44" spans="5:18" ht="14.25" customHeight="1">
      <c r="E44" s="14" t="s">
        <v>80</v>
      </c>
      <c r="F44" s="2"/>
      <c r="G44" s="2"/>
      <c r="H44" s="4">
        <f>IFERROR(GetRTD(Rtd_Server,P44,StrField,TRIM(F44),TRIM(G44)),0)</f>
        <v>0</v>
      </c>
      <c r="I44" s="4">
        <f>IFERROR(GetRTD(Rtd_Server,P44,StrFieldATP,TRIM(F44),TRIM(G44)),0)</f>
        <v>0</v>
      </c>
      <c r="J44" s="20">
        <f>IFERROR(GetRTD(Rtd_Server,P44,StrFieldVol,TRIM(F44),TRIM(G44)),0)</f>
        <v>0</v>
      </c>
      <c r="K44" s="20">
        <f>IFERROR(GetRTD(Rtd_Server,P44,StrFieldOI,TRIM(F44),TRIM(G44)),0)</f>
        <v>0</v>
      </c>
      <c r="O44" s="4" t="str">
        <f t="shared" si="3"/>
        <v/>
      </c>
      <c r="P44" s="4" t="str">
        <f t="shared" si="5"/>
        <v/>
      </c>
      <c r="Q44" s="16" t="b">
        <f t="shared" si="6"/>
        <v>0</v>
      </c>
      <c r="R44" s="17">
        <f t="shared" si="4"/>
        <v>0</v>
      </c>
    </row>
    <row r="45" spans="5:18" ht="14.25" customHeight="1">
      <c r="E45" s="14" t="s">
        <v>80</v>
      </c>
      <c r="F45" s="2"/>
      <c r="G45" s="2"/>
      <c r="H45" s="4">
        <f>IFERROR(GetRTD(Rtd_Server,P45,StrField,TRIM(F45),TRIM(G45)),0)</f>
        <v>0</v>
      </c>
      <c r="I45" s="4">
        <f>IFERROR(GetRTD(Rtd_Server,P45,StrFieldATP,TRIM(F45),TRIM(G45)),0)</f>
        <v>0</v>
      </c>
      <c r="J45" s="20">
        <f>IFERROR(GetRTD(Rtd_Server,P45,StrFieldVol,TRIM(F45),TRIM(G45)),0)</f>
        <v>0</v>
      </c>
      <c r="K45" s="20">
        <f>IFERROR(GetRTD(Rtd_Server,P45,StrFieldOI,TRIM(F45),TRIM(G45)),0)</f>
        <v>0</v>
      </c>
      <c r="O45" s="4" t="str">
        <f t="shared" si="3"/>
        <v/>
      </c>
      <c r="P45" s="4" t="str">
        <f t="shared" si="5"/>
        <v/>
      </c>
      <c r="Q45" s="16" t="b">
        <f t="shared" si="6"/>
        <v>0</v>
      </c>
      <c r="R45" s="17">
        <f t="shared" si="4"/>
        <v>0</v>
      </c>
    </row>
    <row r="46" spans="5:18" ht="14.25" customHeight="1">
      <c r="E46" s="14" t="s">
        <v>80</v>
      </c>
      <c r="F46" s="2"/>
      <c r="G46" s="2"/>
      <c r="H46" s="4">
        <f>IFERROR(GetRTD(Rtd_Server,P46,StrField,TRIM(F46),TRIM(G46)),0)</f>
        <v>0</v>
      </c>
      <c r="I46" s="4">
        <f>IFERROR(GetRTD(Rtd_Server,P46,StrFieldATP,TRIM(F46),TRIM(G46)),0)</f>
        <v>0</v>
      </c>
      <c r="J46" s="20">
        <f>IFERROR(GetRTD(Rtd_Server,P46,StrFieldVol,TRIM(F46),TRIM(G46)),0)</f>
        <v>0</v>
      </c>
      <c r="K46" s="20">
        <f>IFERROR(GetRTD(Rtd_Server,P46,StrFieldOI,TRIM(F46),TRIM(G46)),0)</f>
        <v>0</v>
      </c>
      <c r="O46" s="4" t="str">
        <f t="shared" si="3"/>
        <v/>
      </c>
      <c r="P46" s="4" t="str">
        <f t="shared" si="5"/>
        <v/>
      </c>
      <c r="Q46" s="16" t="b">
        <f t="shared" si="6"/>
        <v>0</v>
      </c>
      <c r="R46" s="17">
        <f t="shared" si="4"/>
        <v>0</v>
      </c>
    </row>
    <row r="47" spans="5:18" ht="14.25" customHeight="1">
      <c r="E47" s="14" t="s">
        <v>80</v>
      </c>
      <c r="F47" s="2"/>
      <c r="G47" s="2"/>
      <c r="H47" s="4">
        <f>IFERROR(GetRTD(Rtd_Server,P47,StrField,TRIM(F47),TRIM(G47)),0)</f>
        <v>0</v>
      </c>
      <c r="I47" s="4">
        <f>IFERROR(GetRTD(Rtd_Server,P47,StrFieldATP,TRIM(F47),TRIM(G47)),0)</f>
        <v>0</v>
      </c>
      <c r="J47" s="20">
        <f>IFERROR(GetRTD(Rtd_Server,P47,StrFieldVol,TRIM(F47),TRIM(G47)),0)</f>
        <v>0</v>
      </c>
      <c r="K47" s="20">
        <f>IFERROR(GetRTD(Rtd_Server,P47,StrFieldOI,TRIM(F47),TRIM(G47)),0)</f>
        <v>0</v>
      </c>
      <c r="O47" s="4" t="str">
        <f t="shared" si="3"/>
        <v/>
      </c>
      <c r="P47" s="4" t="str">
        <f t="shared" si="5"/>
        <v/>
      </c>
      <c r="Q47" s="16" t="b">
        <f t="shared" si="6"/>
        <v>0</v>
      </c>
      <c r="R47" s="17">
        <f t="shared" si="4"/>
        <v>0</v>
      </c>
    </row>
    <row r="48" spans="5:18" ht="14.25" customHeight="1">
      <c r="E48" s="14" t="s">
        <v>80</v>
      </c>
      <c r="F48" s="2"/>
      <c r="G48" s="2"/>
      <c r="H48" s="4">
        <f>IFERROR(GetRTD(Rtd_Server,P48,StrField,TRIM(F48),TRIM(G48)),0)</f>
        <v>0</v>
      </c>
      <c r="I48" s="4">
        <f>IFERROR(GetRTD(Rtd_Server,P48,StrFieldATP,TRIM(F48),TRIM(G48)),0)</f>
        <v>0</v>
      </c>
      <c r="J48" s="20">
        <f>IFERROR(GetRTD(Rtd_Server,P48,StrFieldVol,TRIM(F48),TRIM(G48)),0)</f>
        <v>0</v>
      </c>
      <c r="K48" s="20">
        <f>IFERROR(GetRTD(Rtd_Server,P48,StrFieldOI,TRIM(F48),TRIM(G48)),0)</f>
        <v>0</v>
      </c>
      <c r="O48" s="4" t="str">
        <f t="shared" si="3"/>
        <v/>
      </c>
      <c r="P48" s="4" t="str">
        <f t="shared" si="5"/>
        <v/>
      </c>
      <c r="Q48" s="16" t="b">
        <f t="shared" si="6"/>
        <v>0</v>
      </c>
      <c r="R48" s="17">
        <f t="shared" si="4"/>
        <v>0</v>
      </c>
    </row>
    <row r="49" spans="5:18" ht="14.25" customHeight="1">
      <c r="E49" s="14" t="s">
        <v>80</v>
      </c>
      <c r="F49" s="2"/>
      <c r="G49" s="2"/>
      <c r="H49" s="4">
        <f>IFERROR(GetRTD(Rtd_Server,P49,StrField,TRIM(F49),TRIM(G49)),0)</f>
        <v>0</v>
      </c>
      <c r="I49" s="4">
        <f>IFERROR(GetRTD(Rtd_Server,P49,StrFieldATP,TRIM(F49),TRIM(G49)),0)</f>
        <v>0</v>
      </c>
      <c r="J49" s="20">
        <f>IFERROR(GetRTD(Rtd_Server,P49,StrFieldVol,TRIM(F49),TRIM(G49)),0)</f>
        <v>0</v>
      </c>
      <c r="K49" s="20">
        <f>IFERROR(GetRTD(Rtd_Server,P49,StrFieldOI,TRIM(F49),TRIM(G49)),0)</f>
        <v>0</v>
      </c>
      <c r="O49" s="4" t="str">
        <f t="shared" si="3"/>
        <v/>
      </c>
      <c r="P49" s="4" t="str">
        <f t="shared" si="5"/>
        <v/>
      </c>
      <c r="Q49" s="16" t="b">
        <f t="shared" si="6"/>
        <v>0</v>
      </c>
      <c r="R49" s="17">
        <f t="shared" si="4"/>
        <v>0</v>
      </c>
    </row>
    <row r="50" spans="5:18" ht="14.25" customHeight="1">
      <c r="E50" s="14" t="s">
        <v>80</v>
      </c>
      <c r="F50" s="2"/>
      <c r="G50" s="2"/>
      <c r="H50" s="4">
        <f>IFERROR(GetRTD(Rtd_Server,P50,StrField,TRIM(F50),TRIM(G50)),0)</f>
        <v>0</v>
      </c>
      <c r="I50" s="4">
        <f>IFERROR(GetRTD(Rtd_Server,P50,StrFieldATP,TRIM(F50),TRIM(G50)),0)</f>
        <v>0</v>
      </c>
      <c r="J50" s="20">
        <f>IFERROR(GetRTD(Rtd_Server,P50,StrFieldVol,TRIM(F50),TRIM(G50)),0)</f>
        <v>0</v>
      </c>
      <c r="K50" s="20">
        <f>IFERROR(GetRTD(Rtd_Server,P50,StrFieldOI,TRIM(F50),TRIM(G50)),0)</f>
        <v>0</v>
      </c>
      <c r="O50" s="4" t="str">
        <f t="shared" si="3"/>
        <v/>
      </c>
      <c r="P50" s="4" t="str">
        <f t="shared" si="5"/>
        <v/>
      </c>
      <c r="Q50" s="16" t="b">
        <f t="shared" si="6"/>
        <v>0</v>
      </c>
      <c r="R50" s="17">
        <f t="shared" si="4"/>
        <v>0</v>
      </c>
    </row>
    <row r="51" spans="5:18" ht="14.25" customHeight="1">
      <c r="E51" s="14" t="s">
        <v>80</v>
      </c>
      <c r="F51" s="2"/>
      <c r="G51" s="2"/>
      <c r="H51" s="4">
        <f>IFERROR(GetRTD(Rtd_Server,P51,StrField,TRIM(F51),TRIM(G51)),0)</f>
        <v>0</v>
      </c>
      <c r="I51" s="4">
        <f>IFERROR(GetRTD(Rtd_Server,P51,StrFieldATP,TRIM(F51),TRIM(G51)),0)</f>
        <v>0</v>
      </c>
      <c r="J51" s="20">
        <f>IFERROR(GetRTD(Rtd_Server,P51,StrFieldVol,TRIM(F51),TRIM(G51)),0)</f>
        <v>0</v>
      </c>
      <c r="K51" s="20">
        <f>IFERROR(GetRTD(Rtd_Server,P51,StrFieldOI,TRIM(F51),TRIM(G51)),0)</f>
        <v>0</v>
      </c>
      <c r="O51" s="4" t="str">
        <f t="shared" si="3"/>
        <v/>
      </c>
      <c r="P51" s="4" t="str">
        <f t="shared" si="5"/>
        <v/>
      </c>
      <c r="Q51" s="16" t="b">
        <f t="shared" si="6"/>
        <v>0</v>
      </c>
      <c r="R51" s="17">
        <f t="shared" si="4"/>
        <v>0</v>
      </c>
    </row>
    <row r="52" spans="5:18" ht="14.25" customHeight="1">
      <c r="E52" s="14" t="s">
        <v>80</v>
      </c>
      <c r="F52" s="2"/>
      <c r="G52" s="2"/>
      <c r="H52" s="4">
        <f>IFERROR(GetRTD(Rtd_Server,P52,StrField,TRIM(F52),TRIM(G52)),0)</f>
        <v>0</v>
      </c>
      <c r="I52" s="4">
        <f>IFERROR(GetRTD(Rtd_Server,P52,StrFieldATP,TRIM(F52),TRIM(G52)),0)</f>
        <v>0</v>
      </c>
      <c r="J52" s="20">
        <f>IFERROR(GetRTD(Rtd_Server,P52,StrFieldVol,TRIM(F52),TRIM(G52)),0)</f>
        <v>0</v>
      </c>
      <c r="K52" s="20">
        <f>IFERROR(GetRTD(Rtd_Server,P52,StrFieldOI,TRIM(F52),TRIM(G52)),0)</f>
        <v>0</v>
      </c>
      <c r="O52" s="4" t="str">
        <f t="shared" si="3"/>
        <v/>
      </c>
      <c r="P52" s="4" t="str">
        <f t="shared" si="5"/>
        <v/>
      </c>
      <c r="Q52" s="16" t="b">
        <f t="shared" si="6"/>
        <v>0</v>
      </c>
      <c r="R52" s="17">
        <f t="shared" si="4"/>
        <v>0</v>
      </c>
    </row>
    <row r="53" spans="5:18" ht="14.25" customHeight="1">
      <c r="E53" s="14" t="s">
        <v>80</v>
      </c>
      <c r="F53" s="2"/>
      <c r="G53" s="2"/>
      <c r="H53" s="4">
        <f>IFERROR(GetRTD(Rtd_Server,P53,StrField,TRIM(F53),TRIM(G53)),0)</f>
        <v>0</v>
      </c>
      <c r="I53" s="4">
        <f>IFERROR(GetRTD(Rtd_Server,P53,StrFieldATP,TRIM(F53),TRIM(G53)),0)</f>
        <v>0</v>
      </c>
      <c r="J53" s="20">
        <f>IFERROR(GetRTD(Rtd_Server,P53,StrFieldVol,TRIM(F53),TRIM(G53)),0)</f>
        <v>0</v>
      </c>
      <c r="K53" s="20">
        <f>IFERROR(GetRTD(Rtd_Server,P53,StrFieldOI,TRIM(F53),TRIM(G53)),0)</f>
        <v>0</v>
      </c>
      <c r="O53" s="4" t="str">
        <f t="shared" si="3"/>
        <v/>
      </c>
      <c r="P53" s="4" t="str">
        <f t="shared" si="5"/>
        <v/>
      </c>
      <c r="Q53" s="16" t="b">
        <f t="shared" si="6"/>
        <v>0</v>
      </c>
      <c r="R53" s="17">
        <f t="shared" si="4"/>
        <v>0</v>
      </c>
    </row>
    <row r="54" spans="5:18" ht="14.25" customHeight="1">
      <c r="E54" s="14" t="s">
        <v>80</v>
      </c>
      <c r="F54" s="2"/>
      <c r="G54" s="2"/>
      <c r="H54" s="4">
        <f>IFERROR(GetRTD(Rtd_Server,P54,StrField,TRIM(F54),TRIM(G54)),0)</f>
        <v>0</v>
      </c>
      <c r="I54" s="4">
        <f>IFERROR(GetRTD(Rtd_Server,P54,StrFieldATP,TRIM(F54),TRIM(G54)),0)</f>
        <v>0</v>
      </c>
      <c r="J54" s="20">
        <f>IFERROR(GetRTD(Rtd_Server,P54,StrFieldVol,TRIM(F54),TRIM(G54)),0)</f>
        <v>0</v>
      </c>
      <c r="K54" s="20">
        <f>IFERROR(GetRTD(Rtd_Server,P54,StrFieldOI,TRIM(F54),TRIM(G54)),0)</f>
        <v>0</v>
      </c>
      <c r="O54" s="4" t="str">
        <f t="shared" si="3"/>
        <v/>
      </c>
      <c r="P54" s="4" t="str">
        <f t="shared" si="5"/>
        <v/>
      </c>
      <c r="Q54" s="16" t="b">
        <f t="shared" si="6"/>
        <v>0</v>
      </c>
      <c r="R54" s="17">
        <f t="shared" si="4"/>
        <v>0</v>
      </c>
    </row>
    <row r="55" spans="5:18" ht="14.25" customHeight="1">
      <c r="E55" s="14" t="s">
        <v>80</v>
      </c>
      <c r="F55" s="2"/>
      <c r="G55" s="2"/>
      <c r="H55" s="4">
        <f>IFERROR(GetRTD(Rtd_Server,P55,StrField,TRIM(F55),TRIM(G55)),0)</f>
        <v>0</v>
      </c>
      <c r="I55" s="4">
        <f>IFERROR(GetRTD(Rtd_Server,P55,StrFieldATP,TRIM(F55),TRIM(G55)),0)</f>
        <v>0</v>
      </c>
      <c r="J55" s="20">
        <f>IFERROR(GetRTD(Rtd_Server,P55,StrFieldVol,TRIM(F55),TRIM(G55)),0)</f>
        <v>0</v>
      </c>
      <c r="K55" s="20">
        <f>IFERROR(GetRTD(Rtd_Server,P55,StrFieldOI,TRIM(F55),TRIM(G55)),0)</f>
        <v>0</v>
      </c>
      <c r="O55" s="4" t="str">
        <f t="shared" si="3"/>
        <v/>
      </c>
      <c r="P55" s="4" t="str">
        <f t="shared" si="5"/>
        <v/>
      </c>
      <c r="Q55" s="16" t="b">
        <f t="shared" si="6"/>
        <v>0</v>
      </c>
      <c r="R55" s="17">
        <f t="shared" si="4"/>
        <v>0</v>
      </c>
    </row>
    <row r="56" spans="5:18" ht="14.25" customHeight="1">
      <c r="E56" s="14" t="s">
        <v>80</v>
      </c>
      <c r="F56" s="2"/>
      <c r="G56" s="2"/>
      <c r="H56" s="4">
        <f>IFERROR(GetRTD(Rtd_Server,P56,StrField,TRIM(F56),TRIM(G56)),0)</f>
        <v>0</v>
      </c>
      <c r="I56" s="4">
        <f>IFERROR(GetRTD(Rtd_Server,P56,StrFieldATP,TRIM(F56),TRIM(G56)),0)</f>
        <v>0</v>
      </c>
      <c r="J56" s="20">
        <f>IFERROR(GetRTD(Rtd_Server,P56,StrFieldVol,TRIM(F56),TRIM(G56)),0)</f>
        <v>0</v>
      </c>
      <c r="K56" s="20">
        <f>IFERROR(GetRTD(Rtd_Server,P56,StrFieldOI,TRIM(F56),TRIM(G56)),0)</f>
        <v>0</v>
      </c>
      <c r="O56" s="4" t="str">
        <f t="shared" si="3"/>
        <v/>
      </c>
      <c r="P56" s="4" t="str">
        <f t="shared" si="5"/>
        <v/>
      </c>
      <c r="Q56" s="16" t="b">
        <f t="shared" si="6"/>
        <v>0</v>
      </c>
      <c r="R56" s="17">
        <f t="shared" si="4"/>
        <v>0</v>
      </c>
    </row>
    <row r="57" spans="5:18" ht="14.25" customHeight="1">
      <c r="E57" s="14" t="s">
        <v>80</v>
      </c>
      <c r="F57" s="2"/>
      <c r="G57" s="2"/>
      <c r="H57" s="4">
        <f>IFERROR(GetRTD(Rtd_Server,P57,StrField,TRIM(F57),TRIM(G57)),0)</f>
        <v>0</v>
      </c>
      <c r="I57" s="4">
        <f>IFERROR(GetRTD(Rtd_Server,P57,StrFieldATP,TRIM(F57),TRIM(G57)),0)</f>
        <v>0</v>
      </c>
      <c r="J57" s="20">
        <f>IFERROR(GetRTD(Rtd_Server,P57,StrFieldVol,TRIM(F57),TRIM(G57)),0)</f>
        <v>0</v>
      </c>
      <c r="K57" s="20">
        <f>IFERROR(GetRTD(Rtd_Server,P57,StrFieldOI,TRIM(F57),TRIM(G57)),0)</f>
        <v>0</v>
      </c>
      <c r="O57" s="4" t="str">
        <f t="shared" si="3"/>
        <v/>
      </c>
      <c r="P57" s="4" t="str">
        <f t="shared" si="5"/>
        <v/>
      </c>
      <c r="Q57" s="16" t="b">
        <f t="shared" si="6"/>
        <v>0</v>
      </c>
      <c r="R57" s="17">
        <f t="shared" si="4"/>
        <v>0</v>
      </c>
    </row>
    <row r="58" spans="5:18" ht="14.25" customHeight="1">
      <c r="E58" s="14" t="s">
        <v>80</v>
      </c>
      <c r="F58" s="2"/>
      <c r="G58" s="2"/>
      <c r="H58" s="4">
        <f>IFERROR(GetRTD(Rtd_Server,P58,StrField,TRIM(F58),TRIM(G58)),0)</f>
        <v>0</v>
      </c>
      <c r="I58" s="4">
        <f>IFERROR(GetRTD(Rtd_Server,P58,StrFieldATP,TRIM(F58),TRIM(G58)),0)</f>
        <v>0</v>
      </c>
      <c r="J58" s="20">
        <f>IFERROR(GetRTD(Rtd_Server,P58,StrFieldVol,TRIM(F58),TRIM(G58)),0)</f>
        <v>0</v>
      </c>
      <c r="K58" s="20">
        <f>IFERROR(GetRTD(Rtd_Server,P58,StrFieldOI,TRIM(F58),TRIM(G58)),0)</f>
        <v>0</v>
      </c>
      <c r="O58" s="4" t="str">
        <f t="shared" si="3"/>
        <v/>
      </c>
      <c r="P58" s="4" t="str">
        <f t="shared" si="5"/>
        <v/>
      </c>
      <c r="Q58" s="16" t="b">
        <f t="shared" si="6"/>
        <v>0</v>
      </c>
      <c r="R58" s="17">
        <f t="shared" si="4"/>
        <v>0</v>
      </c>
    </row>
    <row r="59" spans="5:18" ht="14.25" customHeight="1">
      <c r="E59" s="14" t="s">
        <v>80</v>
      </c>
      <c r="F59" s="2"/>
      <c r="G59" s="2"/>
      <c r="H59" s="4">
        <f>IFERROR(GetRTD(Rtd_Server,P59,StrField,TRIM(F59),TRIM(G59)),0)</f>
        <v>0</v>
      </c>
      <c r="I59" s="4">
        <f>IFERROR(GetRTD(Rtd_Server,P59,StrFieldATP,TRIM(F59),TRIM(G59)),0)</f>
        <v>0</v>
      </c>
      <c r="J59" s="20">
        <f>IFERROR(GetRTD(Rtd_Server,P59,StrFieldVol,TRIM(F59),TRIM(G59)),0)</f>
        <v>0</v>
      </c>
      <c r="K59" s="20">
        <f>IFERROR(GetRTD(Rtd_Server,P59,StrFieldOI,TRIM(F59),TRIM(G59)),0)</f>
        <v>0</v>
      </c>
      <c r="O59" s="4" t="str">
        <f t="shared" si="3"/>
        <v/>
      </c>
      <c r="P59" s="4" t="str">
        <f t="shared" si="5"/>
        <v/>
      </c>
      <c r="Q59" s="16" t="b">
        <f t="shared" si="6"/>
        <v>0</v>
      </c>
      <c r="R59" s="17">
        <f t="shared" si="4"/>
        <v>0</v>
      </c>
    </row>
    <row r="60" spans="5:18" ht="14.25" customHeight="1">
      <c r="E60" s="14" t="s">
        <v>80</v>
      </c>
      <c r="F60" s="2"/>
      <c r="G60" s="2"/>
      <c r="H60" s="4">
        <f>IFERROR(GetRTD(Rtd_Server,P60,StrField,TRIM(F60),TRIM(G60)),0)</f>
        <v>0</v>
      </c>
      <c r="I60" s="4">
        <f>IFERROR(GetRTD(Rtd_Server,P60,StrFieldATP,TRIM(F60),TRIM(G60)),0)</f>
        <v>0</v>
      </c>
      <c r="J60" s="20">
        <f>IFERROR(GetRTD(Rtd_Server,P60,StrFieldVol,TRIM(F60),TRIM(G60)),0)</f>
        <v>0</v>
      </c>
      <c r="K60" s="20">
        <f>IFERROR(GetRTD(Rtd_Server,P60,StrFieldOI,TRIM(F60),TRIM(G60)),0)</f>
        <v>0</v>
      </c>
      <c r="O60" s="4" t="str">
        <f t="shared" si="3"/>
        <v/>
      </c>
      <c r="P60" s="4" t="str">
        <f t="shared" si="5"/>
        <v/>
      </c>
      <c r="Q60" s="16" t="b">
        <f t="shared" si="6"/>
        <v>0</v>
      </c>
      <c r="R60" s="17">
        <f t="shared" si="4"/>
        <v>0</v>
      </c>
    </row>
    <row r="61" spans="5:18" ht="14.25" customHeight="1">
      <c r="E61" s="14" t="s">
        <v>80</v>
      </c>
      <c r="F61" s="2"/>
      <c r="G61" s="2"/>
      <c r="H61" s="4">
        <f>IFERROR(GetRTD(Rtd_Server,P61,StrField,TRIM(F61),TRIM(G61)),0)</f>
        <v>0</v>
      </c>
      <c r="I61" s="4">
        <f>IFERROR(GetRTD(Rtd_Server,P61,StrFieldATP,TRIM(F61),TRIM(G61)),0)</f>
        <v>0</v>
      </c>
      <c r="J61" s="20">
        <f>IFERROR(GetRTD(Rtd_Server,P61,StrFieldVol,TRIM(F61),TRIM(G61)),0)</f>
        <v>0</v>
      </c>
      <c r="K61" s="20">
        <f>IFERROR(GetRTD(Rtd_Server,P61,StrFieldOI,TRIM(F61),TRIM(G61)),0)</f>
        <v>0</v>
      </c>
      <c r="O61" s="4" t="str">
        <f t="shared" si="3"/>
        <v/>
      </c>
      <c r="P61" s="4" t="str">
        <f t="shared" si="5"/>
        <v/>
      </c>
      <c r="Q61" s="16" t="b">
        <f t="shared" si="6"/>
        <v>0</v>
      </c>
      <c r="R61" s="17">
        <f t="shared" si="4"/>
        <v>0</v>
      </c>
    </row>
    <row r="62" spans="5:18" ht="14.25" customHeight="1">
      <c r="E62" s="14" t="s">
        <v>80</v>
      </c>
      <c r="F62" s="2"/>
      <c r="G62" s="2"/>
      <c r="H62" s="4">
        <f>IFERROR(GetRTD(Rtd_Server,P62,StrField,TRIM(F62),TRIM(G62)),0)</f>
        <v>0</v>
      </c>
      <c r="I62" s="4">
        <f>IFERROR(GetRTD(Rtd_Server,P62,StrFieldATP,TRIM(F62),TRIM(G62)),0)</f>
        <v>0</v>
      </c>
      <c r="J62" s="20">
        <f>IFERROR(GetRTD(Rtd_Server,P62,StrFieldVol,TRIM(F62),TRIM(G62)),0)</f>
        <v>0</v>
      </c>
      <c r="K62" s="20">
        <f>IFERROR(GetRTD(Rtd_Server,P62,StrFieldOI,TRIM(F62),TRIM(G62)),0)</f>
        <v>0</v>
      </c>
      <c r="O62" s="4" t="str">
        <f t="shared" si="3"/>
        <v/>
      </c>
      <c r="P62" s="4" t="str">
        <f t="shared" si="5"/>
        <v/>
      </c>
      <c r="Q62" s="16" t="b">
        <f t="shared" si="6"/>
        <v>0</v>
      </c>
      <c r="R62" s="17">
        <f t="shared" si="4"/>
        <v>0</v>
      </c>
    </row>
    <row r="63" spans="5:18" ht="14.25" customHeight="1">
      <c r="E63" s="14" t="s">
        <v>80</v>
      </c>
      <c r="F63" s="2"/>
      <c r="G63" s="2"/>
      <c r="H63" s="4">
        <f>IFERROR(GetRTD(Rtd_Server,P63,StrField,TRIM(F63),TRIM(G63)),0)</f>
        <v>0</v>
      </c>
      <c r="I63" s="4">
        <f>IFERROR(GetRTD(Rtd_Server,P63,StrFieldATP,TRIM(F63),TRIM(G63)),0)</f>
        <v>0</v>
      </c>
      <c r="J63" s="20">
        <f>IFERROR(GetRTD(Rtd_Server,P63,StrFieldVol,TRIM(F63),TRIM(G63)),0)</f>
        <v>0</v>
      </c>
      <c r="K63" s="20">
        <f>IFERROR(GetRTD(Rtd_Server,P63,StrFieldOI,TRIM(F63),TRIM(G63)),0)</f>
        <v>0</v>
      </c>
      <c r="O63" s="4" t="str">
        <f t="shared" si="3"/>
        <v/>
      </c>
      <c r="P63" s="4" t="str">
        <f t="shared" si="5"/>
        <v/>
      </c>
      <c r="Q63" s="16" t="b">
        <f t="shared" si="6"/>
        <v>0</v>
      </c>
      <c r="R63" s="17">
        <f t="shared" si="4"/>
        <v>0</v>
      </c>
    </row>
    <row r="64" spans="5:18" ht="14.25" customHeight="1">
      <c r="E64" s="14" t="s">
        <v>80</v>
      </c>
      <c r="F64" s="2"/>
      <c r="G64" s="2"/>
      <c r="H64" s="4">
        <f>IFERROR(GetRTD(Rtd_Server,P64,StrField,TRIM(F64),TRIM(G64)),0)</f>
        <v>0</v>
      </c>
      <c r="I64" s="4">
        <f>IFERROR(GetRTD(Rtd_Server,P64,StrFieldATP,TRIM(F64),TRIM(G64)),0)</f>
        <v>0</v>
      </c>
      <c r="J64" s="20">
        <f>IFERROR(GetRTD(Rtd_Server,P64,StrFieldVol,TRIM(F64),TRIM(G64)),0)</f>
        <v>0</v>
      </c>
      <c r="K64" s="20">
        <f>IFERROR(GetRTD(Rtd_Server,P64,StrFieldOI,TRIM(F64),TRIM(G64)),0)</f>
        <v>0</v>
      </c>
      <c r="O64" s="4" t="str">
        <f t="shared" si="3"/>
        <v/>
      </c>
      <c r="P64" s="4" t="str">
        <f t="shared" si="5"/>
        <v/>
      </c>
      <c r="Q64" s="16" t="b">
        <f t="shared" si="6"/>
        <v>0</v>
      </c>
      <c r="R64" s="17">
        <f t="shared" si="4"/>
        <v>0</v>
      </c>
    </row>
    <row r="65" spans="5:18" ht="14.25" customHeight="1">
      <c r="E65" s="14" t="s">
        <v>80</v>
      </c>
      <c r="F65" s="2"/>
      <c r="G65" s="2"/>
      <c r="H65" s="4">
        <f>IFERROR(GetRTD(Rtd_Server,P65,StrField,TRIM(F65),TRIM(G65)),0)</f>
        <v>0</v>
      </c>
      <c r="I65" s="4">
        <f>IFERROR(GetRTD(Rtd_Server,P65,StrFieldATP,TRIM(F65),TRIM(G65)),0)</f>
        <v>0</v>
      </c>
      <c r="J65" s="20">
        <f>IFERROR(GetRTD(Rtd_Server,P65,StrFieldVol,TRIM(F65),TRIM(G65)),0)</f>
        <v>0</v>
      </c>
      <c r="K65" s="20">
        <f>IFERROR(GetRTD(Rtd_Server,P65,StrFieldOI,TRIM(F65),TRIM(G65)),0)</f>
        <v>0</v>
      </c>
      <c r="O65" s="4" t="str">
        <f t="shared" si="3"/>
        <v/>
      </c>
      <c r="P65" s="4" t="str">
        <f t="shared" si="5"/>
        <v/>
      </c>
      <c r="Q65" s="16" t="b">
        <f t="shared" si="6"/>
        <v>0</v>
      </c>
      <c r="R65" s="17">
        <f t="shared" si="4"/>
        <v>0</v>
      </c>
    </row>
    <row r="66" spans="5:18" ht="14.25" customHeight="1">
      <c r="E66" s="14" t="s">
        <v>80</v>
      </c>
      <c r="F66" s="2"/>
      <c r="G66" s="2"/>
      <c r="H66" s="4">
        <f>IFERROR(GetRTD(Rtd_Server,P66,StrField,TRIM(F66),TRIM(G66)),0)</f>
        <v>0</v>
      </c>
      <c r="I66" s="4">
        <f>IFERROR(GetRTD(Rtd_Server,P66,StrFieldATP,TRIM(F66),TRIM(G66)),0)</f>
        <v>0</v>
      </c>
      <c r="J66" s="20">
        <f>IFERROR(GetRTD(Rtd_Server,P66,StrFieldVol,TRIM(F66),TRIM(G66)),0)</f>
        <v>0</v>
      </c>
      <c r="K66" s="20">
        <f>IFERROR(GetRTD(Rtd_Server,P66,StrFieldOI,TRIM(F66),TRIM(G66)),0)</f>
        <v>0</v>
      </c>
      <c r="O66" s="4" t="str">
        <f t="shared" si="3"/>
        <v/>
      </c>
      <c r="P66" s="4" t="str">
        <f t="shared" ref="P66:P97" si="7">IF(OR(F66="",G66=""),"",O66&amp;Seperator&amp;UPPER(G66))</f>
        <v/>
      </c>
      <c r="Q66" s="16" t="b">
        <f t="shared" ref="Q66:Q97" si="8">LogValue(G66, Field, H66, I66, J66, K66)</f>
        <v>0</v>
      </c>
      <c r="R66" s="17">
        <f t="shared" si="4"/>
        <v>0</v>
      </c>
    </row>
    <row r="67" spans="5:18" ht="14.25" customHeight="1">
      <c r="E67" s="14" t="s">
        <v>80</v>
      </c>
      <c r="F67" s="2"/>
      <c r="G67" s="2"/>
      <c r="H67" s="4">
        <f>IFERROR(GetRTD(Rtd_Server,P67,StrField,TRIM(F67),TRIM(G67)),0)</f>
        <v>0</v>
      </c>
      <c r="I67" s="4">
        <f>IFERROR(GetRTD(Rtd_Server,P67,StrFieldATP,TRIM(F67),TRIM(G67)),0)</f>
        <v>0</v>
      </c>
      <c r="J67" s="20">
        <f>IFERROR(GetRTD(Rtd_Server,P67,StrFieldVol,TRIM(F67),TRIM(G67)),0)</f>
        <v>0</v>
      </c>
      <c r="K67" s="20">
        <f>IFERROR(GetRTD(Rtd_Server,P67,StrFieldOI,TRIM(F67),TRIM(G67)),0)</f>
        <v>0</v>
      </c>
      <c r="O67" s="4" t="str">
        <f t="shared" ref="O67:O130" si="9">IFERROR(IF(Terminal="PI",VLOOKUP(F67,RevExch_Table,2,FALSE),IF(Terminal="NEST",VLOOKUP(F67,RevExch_Table,3,FALSE),VLOOKUP(F67,RevExch_Table,4,FALSE))),"")</f>
        <v/>
      </c>
      <c r="P67" s="4" t="str">
        <f t="shared" si="7"/>
        <v/>
      </c>
      <c r="Q67" s="16" t="b">
        <f t="shared" si="8"/>
        <v>0</v>
      </c>
      <c r="R67" s="17">
        <f t="shared" ref="R67:R130" si="10">GetValueColor(G67,H67,"Ltp")</f>
        <v>0</v>
      </c>
    </row>
    <row r="68" spans="5:18" ht="14.25" customHeight="1">
      <c r="E68" s="14" t="s">
        <v>80</v>
      </c>
      <c r="F68" s="2"/>
      <c r="G68" s="2"/>
      <c r="H68" s="4">
        <f>IFERROR(GetRTD(Rtd_Server,P68,StrField,TRIM(F68),TRIM(G68)),0)</f>
        <v>0</v>
      </c>
      <c r="I68" s="4">
        <f>IFERROR(GetRTD(Rtd_Server,P68,StrFieldATP,TRIM(F68),TRIM(G68)),0)</f>
        <v>0</v>
      </c>
      <c r="J68" s="20">
        <f>IFERROR(GetRTD(Rtd_Server,P68,StrFieldVol,TRIM(F68),TRIM(G68)),0)</f>
        <v>0</v>
      </c>
      <c r="K68" s="20">
        <f>IFERROR(GetRTD(Rtd_Server,P68,StrFieldOI,TRIM(F68),TRIM(G68)),0)</f>
        <v>0</v>
      </c>
      <c r="O68" s="4" t="str">
        <f t="shared" si="9"/>
        <v/>
      </c>
      <c r="P68" s="4" t="str">
        <f t="shared" si="7"/>
        <v/>
      </c>
      <c r="Q68" s="16" t="b">
        <f t="shared" si="8"/>
        <v>0</v>
      </c>
      <c r="R68" s="17">
        <f t="shared" si="10"/>
        <v>0</v>
      </c>
    </row>
    <row r="69" spans="5:18" ht="14.25" customHeight="1">
      <c r="E69" s="14" t="s">
        <v>80</v>
      </c>
      <c r="F69" s="2"/>
      <c r="G69" s="2"/>
      <c r="H69" s="4">
        <f>IFERROR(GetRTD(Rtd_Server,P69,StrField,TRIM(F69),TRIM(G69)),0)</f>
        <v>0</v>
      </c>
      <c r="I69" s="4">
        <f>IFERROR(GetRTD(Rtd_Server,P69,StrFieldATP,TRIM(F69),TRIM(G69)),0)</f>
        <v>0</v>
      </c>
      <c r="J69" s="20">
        <f>IFERROR(GetRTD(Rtd_Server,P69,StrFieldVol,TRIM(F69),TRIM(G69)),0)</f>
        <v>0</v>
      </c>
      <c r="K69" s="20">
        <f>IFERROR(GetRTD(Rtd_Server,P69,StrFieldOI,TRIM(F69),TRIM(G69)),0)</f>
        <v>0</v>
      </c>
      <c r="O69" s="4" t="str">
        <f t="shared" si="9"/>
        <v/>
      </c>
      <c r="P69" s="4" t="str">
        <f t="shared" si="7"/>
        <v/>
      </c>
      <c r="Q69" s="16" t="b">
        <f t="shared" si="8"/>
        <v>0</v>
      </c>
      <c r="R69" s="17">
        <f t="shared" si="10"/>
        <v>0</v>
      </c>
    </row>
    <row r="70" spans="5:18" ht="14.25" customHeight="1">
      <c r="E70" s="14" t="s">
        <v>80</v>
      </c>
      <c r="F70" s="2"/>
      <c r="G70" s="2"/>
      <c r="H70" s="4">
        <f>IFERROR(GetRTD(Rtd_Server,P70,StrField,TRIM(F70),TRIM(G70)),0)</f>
        <v>0</v>
      </c>
      <c r="I70" s="4">
        <f>IFERROR(GetRTD(Rtd_Server,P70,StrFieldATP,TRIM(F70),TRIM(G70)),0)</f>
        <v>0</v>
      </c>
      <c r="J70" s="20">
        <f>IFERROR(GetRTD(Rtd_Server,P70,StrFieldVol,TRIM(F70),TRIM(G70)),0)</f>
        <v>0</v>
      </c>
      <c r="K70" s="20">
        <f>IFERROR(GetRTD(Rtd_Server,P70,StrFieldOI,TRIM(F70),TRIM(G70)),0)</f>
        <v>0</v>
      </c>
      <c r="O70" s="4" t="str">
        <f t="shared" si="9"/>
        <v/>
      </c>
      <c r="P70" s="4" t="str">
        <f t="shared" si="7"/>
        <v/>
      </c>
      <c r="Q70" s="16" t="b">
        <f t="shared" si="8"/>
        <v>0</v>
      </c>
      <c r="R70" s="17">
        <f t="shared" si="10"/>
        <v>0</v>
      </c>
    </row>
    <row r="71" spans="5:18" ht="14.25" customHeight="1">
      <c r="E71" s="14" t="s">
        <v>80</v>
      </c>
      <c r="F71" s="2"/>
      <c r="G71" s="2"/>
      <c r="H71" s="4">
        <f>IFERROR(GetRTD(Rtd_Server,P71,StrField,TRIM(F71),TRIM(G71)),0)</f>
        <v>0</v>
      </c>
      <c r="I71" s="4">
        <f>IFERROR(GetRTD(Rtd_Server,P71,StrFieldATP,TRIM(F71),TRIM(G71)),0)</f>
        <v>0</v>
      </c>
      <c r="J71" s="20">
        <f>IFERROR(GetRTD(Rtd_Server,P71,StrFieldVol,TRIM(F71),TRIM(G71)),0)</f>
        <v>0</v>
      </c>
      <c r="K71" s="20">
        <f>IFERROR(GetRTD(Rtd_Server,P71,StrFieldOI,TRIM(F71),TRIM(G71)),0)</f>
        <v>0</v>
      </c>
      <c r="O71" s="4" t="str">
        <f t="shared" si="9"/>
        <v/>
      </c>
      <c r="P71" s="4" t="str">
        <f t="shared" si="7"/>
        <v/>
      </c>
      <c r="Q71" s="16" t="b">
        <f t="shared" si="8"/>
        <v>0</v>
      </c>
      <c r="R71" s="17">
        <f t="shared" si="10"/>
        <v>0</v>
      </c>
    </row>
    <row r="72" spans="5:18" ht="14.25" customHeight="1">
      <c r="E72" s="14" t="s">
        <v>80</v>
      </c>
      <c r="F72" s="2"/>
      <c r="G72" s="2"/>
      <c r="H72" s="4">
        <f>IFERROR(GetRTD(Rtd_Server,P72,StrField,TRIM(F72),TRIM(G72)),0)</f>
        <v>0</v>
      </c>
      <c r="I72" s="4">
        <f>IFERROR(GetRTD(Rtd_Server,P72,StrFieldATP,TRIM(F72),TRIM(G72)),0)</f>
        <v>0</v>
      </c>
      <c r="J72" s="20">
        <f>IFERROR(GetRTD(Rtd_Server,P72,StrFieldVol,TRIM(F72),TRIM(G72)),0)</f>
        <v>0</v>
      </c>
      <c r="K72" s="20">
        <f>IFERROR(GetRTD(Rtd_Server,P72,StrFieldOI,TRIM(F72),TRIM(G72)),0)</f>
        <v>0</v>
      </c>
      <c r="O72" s="4" t="str">
        <f t="shared" si="9"/>
        <v/>
      </c>
      <c r="P72" s="4" t="str">
        <f t="shared" si="7"/>
        <v/>
      </c>
      <c r="Q72" s="16" t="b">
        <f t="shared" si="8"/>
        <v>0</v>
      </c>
      <c r="R72" s="17">
        <f t="shared" si="10"/>
        <v>0</v>
      </c>
    </row>
    <row r="73" spans="5:18" ht="14.25" customHeight="1">
      <c r="E73" s="14" t="s">
        <v>80</v>
      </c>
      <c r="F73" s="2"/>
      <c r="G73" s="2"/>
      <c r="H73" s="4">
        <f>IFERROR(GetRTD(Rtd_Server,P73,StrField,TRIM(F73),TRIM(G73)),0)</f>
        <v>0</v>
      </c>
      <c r="I73" s="4">
        <f>IFERROR(GetRTD(Rtd_Server,P73,StrFieldATP,TRIM(F73),TRIM(G73)),0)</f>
        <v>0</v>
      </c>
      <c r="J73" s="20">
        <f>IFERROR(GetRTD(Rtd_Server,P73,StrFieldVol,TRIM(F73),TRIM(G73)),0)</f>
        <v>0</v>
      </c>
      <c r="K73" s="20">
        <f>IFERROR(GetRTD(Rtd_Server,P73,StrFieldOI,TRIM(F73),TRIM(G73)),0)</f>
        <v>0</v>
      </c>
      <c r="O73" s="4" t="str">
        <f t="shared" si="9"/>
        <v/>
      </c>
      <c r="P73" s="4" t="str">
        <f t="shared" si="7"/>
        <v/>
      </c>
      <c r="Q73" s="16" t="b">
        <f t="shared" si="8"/>
        <v>0</v>
      </c>
      <c r="R73" s="17">
        <f t="shared" si="10"/>
        <v>0</v>
      </c>
    </row>
    <row r="74" spans="5:18" ht="14.25" customHeight="1">
      <c r="E74" s="14" t="s">
        <v>80</v>
      </c>
      <c r="F74" s="2"/>
      <c r="G74" s="2"/>
      <c r="H74" s="4">
        <f>IFERROR(GetRTD(Rtd_Server,P74,StrField,TRIM(F74),TRIM(G74)),0)</f>
        <v>0</v>
      </c>
      <c r="I74" s="4">
        <f>IFERROR(GetRTD(Rtd_Server,P74,StrFieldATP,TRIM(F74),TRIM(G74)),0)</f>
        <v>0</v>
      </c>
      <c r="J74" s="20">
        <f>IFERROR(GetRTD(Rtd_Server,P74,StrFieldVol,TRIM(F74),TRIM(G74)),0)</f>
        <v>0</v>
      </c>
      <c r="K74" s="20">
        <f>IFERROR(GetRTD(Rtd_Server,P74,StrFieldOI,TRIM(F74),TRIM(G74)),0)</f>
        <v>0</v>
      </c>
      <c r="O74" s="4" t="str">
        <f t="shared" si="9"/>
        <v/>
      </c>
      <c r="P74" s="4" t="str">
        <f t="shared" si="7"/>
        <v/>
      </c>
      <c r="Q74" s="16" t="b">
        <f t="shared" si="8"/>
        <v>0</v>
      </c>
      <c r="R74" s="17">
        <f t="shared" si="10"/>
        <v>0</v>
      </c>
    </row>
    <row r="75" spans="5:18" ht="14.25" customHeight="1">
      <c r="E75" s="14" t="s">
        <v>80</v>
      </c>
      <c r="F75" s="2"/>
      <c r="G75" s="2"/>
      <c r="H75" s="4">
        <f>IFERROR(GetRTD(Rtd_Server,P75,StrField,TRIM(F75),TRIM(G75)),0)</f>
        <v>0</v>
      </c>
      <c r="I75" s="4">
        <f>IFERROR(GetRTD(Rtd_Server,P75,StrFieldATP,TRIM(F75),TRIM(G75)),0)</f>
        <v>0</v>
      </c>
      <c r="J75" s="20">
        <f>IFERROR(GetRTD(Rtd_Server,P75,StrFieldVol,TRIM(F75),TRIM(G75)),0)</f>
        <v>0</v>
      </c>
      <c r="K75" s="20">
        <f>IFERROR(GetRTD(Rtd_Server,P75,StrFieldOI,TRIM(F75),TRIM(G75)),0)</f>
        <v>0</v>
      </c>
      <c r="O75" s="4" t="str">
        <f t="shared" si="9"/>
        <v/>
      </c>
      <c r="P75" s="4" t="str">
        <f t="shared" si="7"/>
        <v/>
      </c>
      <c r="Q75" s="16" t="b">
        <f t="shared" si="8"/>
        <v>0</v>
      </c>
      <c r="R75" s="17">
        <f t="shared" si="10"/>
        <v>0</v>
      </c>
    </row>
    <row r="76" spans="5:18" ht="14.25" customHeight="1">
      <c r="E76" s="14" t="s">
        <v>80</v>
      </c>
      <c r="F76" s="2"/>
      <c r="G76" s="2"/>
      <c r="H76" s="4">
        <f>IFERROR(GetRTD(Rtd_Server,P76,StrField,TRIM(F76),TRIM(G76)),0)</f>
        <v>0</v>
      </c>
      <c r="I76" s="4">
        <f>IFERROR(GetRTD(Rtd_Server,P76,StrFieldATP,TRIM(F76),TRIM(G76)),0)</f>
        <v>0</v>
      </c>
      <c r="J76" s="20">
        <f>IFERROR(GetRTD(Rtd_Server,P76,StrFieldVol,TRIM(F76),TRIM(G76)),0)</f>
        <v>0</v>
      </c>
      <c r="K76" s="20">
        <f>IFERROR(GetRTD(Rtd_Server,P76,StrFieldOI,TRIM(F76),TRIM(G76)),0)</f>
        <v>0</v>
      </c>
      <c r="O76" s="4" t="str">
        <f t="shared" si="9"/>
        <v/>
      </c>
      <c r="P76" s="4" t="str">
        <f t="shared" si="7"/>
        <v/>
      </c>
      <c r="Q76" s="16" t="b">
        <f t="shared" si="8"/>
        <v>0</v>
      </c>
      <c r="R76" s="17">
        <f t="shared" si="10"/>
        <v>0</v>
      </c>
    </row>
    <row r="77" spans="5:18" ht="14.25" customHeight="1">
      <c r="E77" s="14" t="s">
        <v>80</v>
      </c>
      <c r="F77" s="2"/>
      <c r="G77" s="2"/>
      <c r="H77" s="4">
        <f>IFERROR(GetRTD(Rtd_Server,P77,StrField,TRIM(F77),TRIM(G77)),0)</f>
        <v>0</v>
      </c>
      <c r="I77" s="4">
        <f>IFERROR(GetRTD(Rtd_Server,P77,StrFieldATP,TRIM(F77),TRIM(G77)),0)</f>
        <v>0</v>
      </c>
      <c r="J77" s="20">
        <f>IFERROR(GetRTD(Rtd_Server,P77,StrFieldVol,TRIM(F77),TRIM(G77)),0)</f>
        <v>0</v>
      </c>
      <c r="K77" s="20">
        <f>IFERROR(GetRTD(Rtd_Server,P77,StrFieldOI,TRIM(F77),TRIM(G77)),0)</f>
        <v>0</v>
      </c>
      <c r="O77" s="4" t="str">
        <f t="shared" si="9"/>
        <v/>
      </c>
      <c r="P77" s="4" t="str">
        <f t="shared" si="7"/>
        <v/>
      </c>
      <c r="Q77" s="16" t="b">
        <f t="shared" si="8"/>
        <v>0</v>
      </c>
      <c r="R77" s="17">
        <f t="shared" si="10"/>
        <v>0</v>
      </c>
    </row>
    <row r="78" spans="5:18" ht="14.25" customHeight="1">
      <c r="E78" s="14" t="s">
        <v>80</v>
      </c>
      <c r="F78" s="2"/>
      <c r="G78" s="2"/>
      <c r="H78" s="4">
        <f>IFERROR(GetRTD(Rtd_Server,P78,StrField,TRIM(F78),TRIM(G78)),0)</f>
        <v>0</v>
      </c>
      <c r="I78" s="4">
        <f>IFERROR(GetRTD(Rtd_Server,P78,StrFieldATP,TRIM(F78),TRIM(G78)),0)</f>
        <v>0</v>
      </c>
      <c r="J78" s="20">
        <f>IFERROR(GetRTD(Rtd_Server,P78,StrFieldVol,TRIM(F78),TRIM(G78)),0)</f>
        <v>0</v>
      </c>
      <c r="K78" s="20">
        <f>IFERROR(GetRTD(Rtd_Server,P78,StrFieldOI,TRIM(F78),TRIM(G78)),0)</f>
        <v>0</v>
      </c>
      <c r="O78" s="4" t="str">
        <f t="shared" si="9"/>
        <v/>
      </c>
      <c r="P78" s="4" t="str">
        <f t="shared" si="7"/>
        <v/>
      </c>
      <c r="Q78" s="16" t="b">
        <f t="shared" si="8"/>
        <v>0</v>
      </c>
      <c r="R78" s="17">
        <f t="shared" si="10"/>
        <v>0</v>
      </c>
    </row>
    <row r="79" spans="5:18" ht="14.25" customHeight="1">
      <c r="E79" s="14" t="s">
        <v>80</v>
      </c>
      <c r="F79" s="2"/>
      <c r="G79" s="2"/>
      <c r="H79" s="4">
        <f>IFERROR(GetRTD(Rtd_Server,P79,StrField,TRIM(F79),TRIM(G79)),0)</f>
        <v>0</v>
      </c>
      <c r="I79" s="4">
        <f>IFERROR(GetRTD(Rtd_Server,P79,StrFieldATP,TRIM(F79),TRIM(G79)),0)</f>
        <v>0</v>
      </c>
      <c r="J79" s="20">
        <f>IFERROR(GetRTD(Rtd_Server,P79,StrFieldVol,TRIM(F79),TRIM(G79)),0)</f>
        <v>0</v>
      </c>
      <c r="K79" s="20">
        <f>IFERROR(GetRTD(Rtd_Server,P79,StrFieldOI,TRIM(F79),TRIM(G79)),0)</f>
        <v>0</v>
      </c>
      <c r="O79" s="4" t="str">
        <f t="shared" si="9"/>
        <v/>
      </c>
      <c r="P79" s="4" t="str">
        <f t="shared" si="7"/>
        <v/>
      </c>
      <c r="Q79" s="16" t="b">
        <f t="shared" si="8"/>
        <v>0</v>
      </c>
      <c r="R79" s="17">
        <f t="shared" si="10"/>
        <v>0</v>
      </c>
    </row>
    <row r="80" spans="5:18" ht="14.25" customHeight="1">
      <c r="E80" s="14" t="s">
        <v>80</v>
      </c>
      <c r="F80" s="2"/>
      <c r="G80" s="2"/>
      <c r="H80" s="4">
        <f>IFERROR(GetRTD(Rtd_Server,P80,StrField,TRIM(F80),TRIM(G80)),0)</f>
        <v>0</v>
      </c>
      <c r="I80" s="4">
        <f>IFERROR(GetRTD(Rtd_Server,P80,StrFieldATP,TRIM(F80),TRIM(G80)),0)</f>
        <v>0</v>
      </c>
      <c r="J80" s="20">
        <f>IFERROR(GetRTD(Rtd_Server,P80,StrFieldVol,TRIM(F80),TRIM(G80)),0)</f>
        <v>0</v>
      </c>
      <c r="K80" s="20">
        <f>IFERROR(GetRTD(Rtd_Server,P80,StrFieldOI,TRIM(F80),TRIM(G80)),0)</f>
        <v>0</v>
      </c>
      <c r="O80" s="4" t="str">
        <f t="shared" si="9"/>
        <v/>
      </c>
      <c r="P80" s="4" t="str">
        <f t="shared" si="7"/>
        <v/>
      </c>
      <c r="Q80" s="16" t="b">
        <f t="shared" si="8"/>
        <v>0</v>
      </c>
      <c r="R80" s="17">
        <f t="shared" si="10"/>
        <v>0</v>
      </c>
    </row>
    <row r="81" spans="5:18" ht="14.25" customHeight="1">
      <c r="E81" s="14" t="s">
        <v>80</v>
      </c>
      <c r="F81" s="2"/>
      <c r="G81" s="2"/>
      <c r="H81" s="4">
        <f>IFERROR(GetRTD(Rtd_Server,P81,StrField,TRIM(F81),TRIM(G81)),0)</f>
        <v>0</v>
      </c>
      <c r="I81" s="4">
        <f>IFERROR(GetRTD(Rtd_Server,P81,StrFieldATP,TRIM(F81),TRIM(G81)),0)</f>
        <v>0</v>
      </c>
      <c r="J81" s="20">
        <f>IFERROR(GetRTD(Rtd_Server,P81,StrFieldVol,TRIM(F81),TRIM(G81)),0)</f>
        <v>0</v>
      </c>
      <c r="K81" s="20">
        <f>IFERROR(GetRTD(Rtd_Server,P81,StrFieldOI,TRIM(F81),TRIM(G81)),0)</f>
        <v>0</v>
      </c>
      <c r="O81" s="4" t="str">
        <f t="shared" si="9"/>
        <v/>
      </c>
      <c r="P81" s="4" t="str">
        <f t="shared" si="7"/>
        <v/>
      </c>
      <c r="Q81" s="16" t="b">
        <f t="shared" si="8"/>
        <v>0</v>
      </c>
      <c r="R81" s="17">
        <f t="shared" si="10"/>
        <v>0</v>
      </c>
    </row>
    <row r="82" spans="5:18" ht="14.25" customHeight="1">
      <c r="E82" s="14" t="s">
        <v>80</v>
      </c>
      <c r="F82" s="2"/>
      <c r="G82" s="2"/>
      <c r="H82" s="4">
        <f>IFERROR(GetRTD(Rtd_Server,P82,StrField,TRIM(F82),TRIM(G82)),0)</f>
        <v>0</v>
      </c>
      <c r="I82" s="4">
        <f>IFERROR(GetRTD(Rtd_Server,P82,StrFieldATP,TRIM(F82),TRIM(G82)),0)</f>
        <v>0</v>
      </c>
      <c r="J82" s="20">
        <f>IFERROR(GetRTD(Rtd_Server,P82,StrFieldVol,TRIM(F82),TRIM(G82)),0)</f>
        <v>0</v>
      </c>
      <c r="K82" s="20">
        <f>IFERROR(GetRTD(Rtd_Server,P82,StrFieldOI,TRIM(F82),TRIM(G82)),0)</f>
        <v>0</v>
      </c>
      <c r="O82" s="4" t="str">
        <f t="shared" si="9"/>
        <v/>
      </c>
      <c r="P82" s="4" t="str">
        <f t="shared" si="7"/>
        <v/>
      </c>
      <c r="Q82" s="16" t="b">
        <f t="shared" si="8"/>
        <v>0</v>
      </c>
      <c r="R82" s="17">
        <f t="shared" si="10"/>
        <v>0</v>
      </c>
    </row>
    <row r="83" spans="5:18" ht="14.25" customHeight="1">
      <c r="E83" s="14" t="s">
        <v>80</v>
      </c>
      <c r="F83" s="2"/>
      <c r="G83" s="2"/>
      <c r="H83" s="4">
        <f>IFERROR(GetRTD(Rtd_Server,P83,StrField,TRIM(F83),TRIM(G83)),0)</f>
        <v>0</v>
      </c>
      <c r="I83" s="4">
        <f>IFERROR(GetRTD(Rtd_Server,P83,StrFieldATP,TRIM(F83),TRIM(G83)),0)</f>
        <v>0</v>
      </c>
      <c r="J83" s="20">
        <f>IFERROR(GetRTD(Rtd_Server,P83,StrFieldVol,TRIM(F83),TRIM(G83)),0)</f>
        <v>0</v>
      </c>
      <c r="K83" s="20">
        <f>IFERROR(GetRTD(Rtd_Server,P83,StrFieldOI,TRIM(F83),TRIM(G83)),0)</f>
        <v>0</v>
      </c>
      <c r="O83" s="4" t="str">
        <f t="shared" si="9"/>
        <v/>
      </c>
      <c r="P83" s="4" t="str">
        <f t="shared" si="7"/>
        <v/>
      </c>
      <c r="Q83" s="16" t="b">
        <f t="shared" si="8"/>
        <v>0</v>
      </c>
      <c r="R83" s="17">
        <f t="shared" si="10"/>
        <v>0</v>
      </c>
    </row>
    <row r="84" spans="5:18" ht="14.25" customHeight="1">
      <c r="E84" s="14" t="s">
        <v>80</v>
      </c>
      <c r="F84" s="2"/>
      <c r="G84" s="2"/>
      <c r="H84" s="4">
        <f>IFERROR(GetRTD(Rtd_Server,P84,StrField,TRIM(F84),TRIM(G84)),0)</f>
        <v>0</v>
      </c>
      <c r="I84" s="4">
        <f>IFERROR(GetRTD(Rtd_Server,P84,StrFieldATP,TRIM(F84),TRIM(G84)),0)</f>
        <v>0</v>
      </c>
      <c r="J84" s="20">
        <f>IFERROR(GetRTD(Rtd_Server,P84,StrFieldVol,TRIM(F84),TRIM(G84)),0)</f>
        <v>0</v>
      </c>
      <c r="K84" s="20">
        <f>IFERROR(GetRTD(Rtd_Server,P84,StrFieldOI,TRIM(F84),TRIM(G84)),0)</f>
        <v>0</v>
      </c>
      <c r="O84" s="4" t="str">
        <f t="shared" si="9"/>
        <v/>
      </c>
      <c r="P84" s="4" t="str">
        <f t="shared" si="7"/>
        <v/>
      </c>
      <c r="Q84" s="16" t="b">
        <f t="shared" si="8"/>
        <v>0</v>
      </c>
      <c r="R84" s="17">
        <f t="shared" si="10"/>
        <v>0</v>
      </c>
    </row>
    <row r="85" spans="5:18" ht="14.25" customHeight="1">
      <c r="E85" s="14" t="s">
        <v>80</v>
      </c>
      <c r="F85" s="2"/>
      <c r="G85" s="2"/>
      <c r="H85" s="4">
        <f>IFERROR(GetRTD(Rtd_Server,P85,StrField,TRIM(F85),TRIM(G85)),0)</f>
        <v>0</v>
      </c>
      <c r="I85" s="4">
        <f>IFERROR(GetRTD(Rtd_Server,P85,StrFieldATP,TRIM(F85),TRIM(G85)),0)</f>
        <v>0</v>
      </c>
      <c r="J85" s="20">
        <f>IFERROR(GetRTD(Rtd_Server,P85,StrFieldVol,TRIM(F85),TRIM(G85)),0)</f>
        <v>0</v>
      </c>
      <c r="K85" s="20">
        <f>IFERROR(GetRTD(Rtd_Server,P85,StrFieldOI,TRIM(F85),TRIM(G85)),0)</f>
        <v>0</v>
      </c>
      <c r="O85" s="4" t="str">
        <f t="shared" si="9"/>
        <v/>
      </c>
      <c r="P85" s="4" t="str">
        <f t="shared" si="7"/>
        <v/>
      </c>
      <c r="Q85" s="16" t="b">
        <f t="shared" si="8"/>
        <v>0</v>
      </c>
      <c r="R85" s="17">
        <f t="shared" si="10"/>
        <v>0</v>
      </c>
    </row>
    <row r="86" spans="5:18" ht="14.25" customHeight="1">
      <c r="E86" s="14" t="s">
        <v>80</v>
      </c>
      <c r="F86" s="2"/>
      <c r="G86" s="2"/>
      <c r="H86" s="4">
        <f>IFERROR(GetRTD(Rtd_Server,P86,StrField,TRIM(F86),TRIM(G86)),0)</f>
        <v>0</v>
      </c>
      <c r="I86" s="4">
        <f>IFERROR(GetRTD(Rtd_Server,P86,StrFieldATP,TRIM(F86),TRIM(G86)),0)</f>
        <v>0</v>
      </c>
      <c r="J86" s="20">
        <f>IFERROR(GetRTD(Rtd_Server,P86,StrFieldVol,TRIM(F86),TRIM(G86)),0)</f>
        <v>0</v>
      </c>
      <c r="K86" s="20">
        <f>IFERROR(GetRTD(Rtd_Server,P86,StrFieldOI,TRIM(F86),TRIM(G86)),0)</f>
        <v>0</v>
      </c>
      <c r="O86" s="4" t="str">
        <f t="shared" si="9"/>
        <v/>
      </c>
      <c r="P86" s="4" t="str">
        <f t="shared" si="7"/>
        <v/>
      </c>
      <c r="Q86" s="16" t="b">
        <f t="shared" si="8"/>
        <v>0</v>
      </c>
      <c r="R86" s="17">
        <f t="shared" si="10"/>
        <v>0</v>
      </c>
    </row>
    <row r="87" spans="5:18" ht="14.25" customHeight="1">
      <c r="E87" s="14" t="s">
        <v>80</v>
      </c>
      <c r="F87" s="2"/>
      <c r="G87" s="2"/>
      <c r="H87" s="4">
        <f>IFERROR(GetRTD(Rtd_Server,P87,StrField,TRIM(F87),TRIM(G87)),0)</f>
        <v>0</v>
      </c>
      <c r="I87" s="4">
        <f>IFERROR(GetRTD(Rtd_Server,P87,StrFieldATP,TRIM(F87),TRIM(G87)),0)</f>
        <v>0</v>
      </c>
      <c r="J87" s="20">
        <f>IFERROR(GetRTD(Rtd_Server,P87,StrFieldVol,TRIM(F87),TRIM(G87)),0)</f>
        <v>0</v>
      </c>
      <c r="K87" s="20">
        <f>IFERROR(GetRTD(Rtd_Server,P87,StrFieldOI,TRIM(F87),TRIM(G87)),0)</f>
        <v>0</v>
      </c>
      <c r="O87" s="4" t="str">
        <f t="shared" si="9"/>
        <v/>
      </c>
      <c r="P87" s="4" t="str">
        <f t="shared" si="7"/>
        <v/>
      </c>
      <c r="Q87" s="16" t="b">
        <f t="shared" si="8"/>
        <v>0</v>
      </c>
      <c r="R87" s="17">
        <f t="shared" si="10"/>
        <v>0</v>
      </c>
    </row>
    <row r="88" spans="5:18" ht="14.25" customHeight="1">
      <c r="E88" s="14" t="s">
        <v>80</v>
      </c>
      <c r="F88" s="2"/>
      <c r="G88" s="2"/>
      <c r="H88" s="4">
        <f>IFERROR(GetRTD(Rtd_Server,P88,StrField,TRIM(F88),TRIM(G88)),0)</f>
        <v>0</v>
      </c>
      <c r="I88" s="4">
        <f>IFERROR(GetRTD(Rtd_Server,P88,StrFieldATP,TRIM(F88),TRIM(G88)),0)</f>
        <v>0</v>
      </c>
      <c r="J88" s="20">
        <f>IFERROR(GetRTD(Rtd_Server,P88,StrFieldVol,TRIM(F88),TRIM(G88)),0)</f>
        <v>0</v>
      </c>
      <c r="K88" s="20">
        <f>IFERROR(GetRTD(Rtd_Server,P88,StrFieldOI,TRIM(F88),TRIM(G88)),0)</f>
        <v>0</v>
      </c>
      <c r="O88" s="4" t="str">
        <f t="shared" si="9"/>
        <v/>
      </c>
      <c r="P88" s="4" t="str">
        <f t="shared" si="7"/>
        <v/>
      </c>
      <c r="Q88" s="16" t="b">
        <f t="shared" si="8"/>
        <v>0</v>
      </c>
      <c r="R88" s="17">
        <f t="shared" si="10"/>
        <v>0</v>
      </c>
    </row>
    <row r="89" spans="5:18" ht="14.25" customHeight="1">
      <c r="E89" s="14" t="s">
        <v>80</v>
      </c>
      <c r="F89" s="2"/>
      <c r="G89" s="2"/>
      <c r="H89" s="4">
        <f>IFERROR(GetRTD(Rtd_Server,P89,StrField,TRIM(F89),TRIM(G89)),0)</f>
        <v>0</v>
      </c>
      <c r="I89" s="4">
        <f>IFERROR(GetRTD(Rtd_Server,P89,StrFieldATP,TRIM(F89),TRIM(G89)),0)</f>
        <v>0</v>
      </c>
      <c r="J89" s="20">
        <f>IFERROR(GetRTD(Rtd_Server,P89,StrFieldVol,TRIM(F89),TRIM(G89)),0)</f>
        <v>0</v>
      </c>
      <c r="K89" s="20">
        <f>IFERROR(GetRTD(Rtd_Server,P89,StrFieldOI,TRIM(F89),TRIM(G89)),0)</f>
        <v>0</v>
      </c>
      <c r="O89" s="4" t="str">
        <f t="shared" si="9"/>
        <v/>
      </c>
      <c r="P89" s="4" t="str">
        <f t="shared" si="7"/>
        <v/>
      </c>
      <c r="Q89" s="16" t="b">
        <f t="shared" si="8"/>
        <v>0</v>
      </c>
      <c r="R89" s="17">
        <f t="shared" si="10"/>
        <v>0</v>
      </c>
    </row>
    <row r="90" spans="5:18" ht="14.25" customHeight="1">
      <c r="E90" s="14" t="s">
        <v>80</v>
      </c>
      <c r="F90" s="2"/>
      <c r="G90" s="2"/>
      <c r="H90" s="4">
        <f>IFERROR(GetRTD(Rtd_Server,P90,StrField,TRIM(F90),TRIM(G90)),0)</f>
        <v>0</v>
      </c>
      <c r="I90" s="4">
        <f>IFERROR(GetRTD(Rtd_Server,P90,StrFieldATP,TRIM(F90),TRIM(G90)),0)</f>
        <v>0</v>
      </c>
      <c r="J90" s="20">
        <f>IFERROR(GetRTD(Rtd_Server,P90,StrFieldVol,TRIM(F90),TRIM(G90)),0)</f>
        <v>0</v>
      </c>
      <c r="K90" s="20">
        <f>IFERROR(GetRTD(Rtd_Server,P90,StrFieldOI,TRIM(F90),TRIM(G90)),0)</f>
        <v>0</v>
      </c>
      <c r="O90" s="4" t="str">
        <f t="shared" si="9"/>
        <v/>
      </c>
      <c r="P90" s="4" t="str">
        <f t="shared" si="7"/>
        <v/>
      </c>
      <c r="Q90" s="16" t="b">
        <f t="shared" si="8"/>
        <v>0</v>
      </c>
      <c r="R90" s="17">
        <f t="shared" si="10"/>
        <v>0</v>
      </c>
    </row>
    <row r="91" spans="5:18" ht="14.25" customHeight="1">
      <c r="E91" s="14" t="s">
        <v>80</v>
      </c>
      <c r="F91" s="2"/>
      <c r="G91" s="2"/>
      <c r="H91" s="4">
        <f>IFERROR(GetRTD(Rtd_Server,P91,StrField,TRIM(F91),TRIM(G91)),0)</f>
        <v>0</v>
      </c>
      <c r="I91" s="4">
        <f>IFERROR(GetRTD(Rtd_Server,P91,StrFieldATP,TRIM(F91),TRIM(G91)),0)</f>
        <v>0</v>
      </c>
      <c r="J91" s="20">
        <f>IFERROR(GetRTD(Rtd_Server,P91,StrFieldVol,TRIM(F91),TRIM(G91)),0)</f>
        <v>0</v>
      </c>
      <c r="K91" s="20">
        <f>IFERROR(GetRTD(Rtd_Server,P91,StrFieldOI,TRIM(F91),TRIM(G91)),0)</f>
        <v>0</v>
      </c>
      <c r="O91" s="4" t="str">
        <f t="shared" si="9"/>
        <v/>
      </c>
      <c r="P91" s="4" t="str">
        <f t="shared" si="7"/>
        <v/>
      </c>
      <c r="Q91" s="16" t="b">
        <f t="shared" si="8"/>
        <v>0</v>
      </c>
      <c r="R91" s="17">
        <f t="shared" si="10"/>
        <v>0</v>
      </c>
    </row>
    <row r="92" spans="5:18" ht="14.25" customHeight="1">
      <c r="E92" s="14" t="s">
        <v>80</v>
      </c>
      <c r="F92" s="2"/>
      <c r="G92" s="2"/>
      <c r="H92" s="4">
        <f>IFERROR(GetRTD(Rtd_Server,P92,StrField,TRIM(F92),TRIM(G92)),0)</f>
        <v>0</v>
      </c>
      <c r="I92" s="4">
        <f>IFERROR(GetRTD(Rtd_Server,P92,StrFieldATP,TRIM(F92),TRIM(G92)),0)</f>
        <v>0</v>
      </c>
      <c r="J92" s="20">
        <f>IFERROR(GetRTD(Rtd_Server,P92,StrFieldVol,TRIM(F92),TRIM(G92)),0)</f>
        <v>0</v>
      </c>
      <c r="K92" s="20">
        <f>IFERROR(GetRTD(Rtd_Server,P92,StrFieldOI,TRIM(F92),TRIM(G92)),0)</f>
        <v>0</v>
      </c>
      <c r="O92" s="4" t="str">
        <f t="shared" si="9"/>
        <v/>
      </c>
      <c r="P92" s="4" t="str">
        <f t="shared" si="7"/>
        <v/>
      </c>
      <c r="Q92" s="16" t="b">
        <f t="shared" si="8"/>
        <v>0</v>
      </c>
      <c r="R92" s="17">
        <f t="shared" si="10"/>
        <v>0</v>
      </c>
    </row>
    <row r="93" spans="5:18" ht="14.25" customHeight="1">
      <c r="E93" s="14" t="s">
        <v>80</v>
      </c>
      <c r="F93" s="2"/>
      <c r="G93" s="2"/>
      <c r="H93" s="4">
        <f>IFERROR(GetRTD(Rtd_Server,P93,StrField,TRIM(F93),TRIM(G93)),0)</f>
        <v>0</v>
      </c>
      <c r="I93" s="4">
        <f>IFERROR(GetRTD(Rtd_Server,P93,StrFieldATP,TRIM(F93),TRIM(G93)),0)</f>
        <v>0</v>
      </c>
      <c r="J93" s="20">
        <f>IFERROR(GetRTD(Rtd_Server,P93,StrFieldVol,TRIM(F93),TRIM(G93)),0)</f>
        <v>0</v>
      </c>
      <c r="K93" s="20">
        <f>IFERROR(GetRTD(Rtd_Server,P93,StrFieldOI,TRIM(F93),TRIM(G93)),0)</f>
        <v>0</v>
      </c>
      <c r="O93" s="4" t="str">
        <f t="shared" si="9"/>
        <v/>
      </c>
      <c r="P93" s="4" t="str">
        <f t="shared" si="7"/>
        <v/>
      </c>
      <c r="Q93" s="16" t="b">
        <f t="shared" si="8"/>
        <v>0</v>
      </c>
      <c r="R93" s="17">
        <f t="shared" si="10"/>
        <v>0</v>
      </c>
    </row>
    <row r="94" spans="5:18" ht="14.25" customHeight="1">
      <c r="E94" s="14" t="s">
        <v>80</v>
      </c>
      <c r="F94" s="2"/>
      <c r="G94" s="2"/>
      <c r="H94" s="4">
        <f>IFERROR(GetRTD(Rtd_Server,P94,StrField,TRIM(F94),TRIM(G94)),0)</f>
        <v>0</v>
      </c>
      <c r="I94" s="4">
        <f>IFERROR(GetRTD(Rtd_Server,P94,StrFieldATP,TRIM(F94),TRIM(G94)),0)</f>
        <v>0</v>
      </c>
      <c r="J94" s="20">
        <f>IFERROR(GetRTD(Rtd_Server,P94,StrFieldVol,TRIM(F94),TRIM(G94)),0)</f>
        <v>0</v>
      </c>
      <c r="K94" s="20">
        <f>IFERROR(GetRTD(Rtd_Server,P94,StrFieldOI,TRIM(F94),TRIM(G94)),0)</f>
        <v>0</v>
      </c>
      <c r="O94" s="4" t="str">
        <f t="shared" si="9"/>
        <v/>
      </c>
      <c r="P94" s="4" t="str">
        <f t="shared" si="7"/>
        <v/>
      </c>
      <c r="Q94" s="16" t="b">
        <f t="shared" si="8"/>
        <v>0</v>
      </c>
      <c r="R94" s="17">
        <f t="shared" si="10"/>
        <v>0</v>
      </c>
    </row>
    <row r="95" spans="5:18" ht="14.25" customHeight="1">
      <c r="E95" s="14" t="s">
        <v>80</v>
      </c>
      <c r="F95" s="2"/>
      <c r="G95" s="2"/>
      <c r="H95" s="4">
        <f>IFERROR(GetRTD(Rtd_Server,P95,StrField,TRIM(F95),TRIM(G95)),0)</f>
        <v>0</v>
      </c>
      <c r="I95" s="4">
        <f>IFERROR(GetRTD(Rtd_Server,P95,StrFieldATP,TRIM(F95),TRIM(G95)),0)</f>
        <v>0</v>
      </c>
      <c r="J95" s="20">
        <f>IFERROR(GetRTD(Rtd_Server,P95,StrFieldVol,TRIM(F95),TRIM(G95)),0)</f>
        <v>0</v>
      </c>
      <c r="K95" s="20">
        <f>IFERROR(GetRTD(Rtd_Server,P95,StrFieldOI,TRIM(F95),TRIM(G95)),0)</f>
        <v>0</v>
      </c>
      <c r="O95" s="4" t="str">
        <f t="shared" si="9"/>
        <v/>
      </c>
      <c r="P95" s="4" t="str">
        <f t="shared" si="7"/>
        <v/>
      </c>
      <c r="Q95" s="16" t="b">
        <f t="shared" si="8"/>
        <v>0</v>
      </c>
      <c r="R95" s="17">
        <f t="shared" si="10"/>
        <v>0</v>
      </c>
    </row>
    <row r="96" spans="5:18" ht="14.25" customHeight="1">
      <c r="E96" s="14" t="s">
        <v>80</v>
      </c>
      <c r="F96" s="2"/>
      <c r="G96" s="2"/>
      <c r="H96" s="4">
        <f>IFERROR(GetRTD(Rtd_Server,P96,StrField,TRIM(F96),TRIM(G96)),0)</f>
        <v>0</v>
      </c>
      <c r="I96" s="4">
        <f>IFERROR(GetRTD(Rtd_Server,P96,StrFieldATP,TRIM(F96),TRIM(G96)),0)</f>
        <v>0</v>
      </c>
      <c r="J96" s="20">
        <f>IFERROR(GetRTD(Rtd_Server,P96,StrFieldVol,TRIM(F96),TRIM(G96)),0)</f>
        <v>0</v>
      </c>
      <c r="K96" s="20">
        <f>IFERROR(GetRTD(Rtd_Server,P96,StrFieldOI,TRIM(F96),TRIM(G96)),0)</f>
        <v>0</v>
      </c>
      <c r="O96" s="4" t="str">
        <f t="shared" si="9"/>
        <v/>
      </c>
      <c r="P96" s="4" t="str">
        <f t="shared" si="7"/>
        <v/>
      </c>
      <c r="Q96" s="16" t="b">
        <f t="shared" si="8"/>
        <v>0</v>
      </c>
      <c r="R96" s="17">
        <f t="shared" si="10"/>
        <v>0</v>
      </c>
    </row>
    <row r="97" spans="5:18" ht="14.25" customHeight="1">
      <c r="E97" s="14" t="s">
        <v>80</v>
      </c>
      <c r="F97" s="2"/>
      <c r="G97" s="2"/>
      <c r="H97" s="4">
        <f>IFERROR(GetRTD(Rtd_Server,P97,StrField,TRIM(F97),TRIM(G97)),0)</f>
        <v>0</v>
      </c>
      <c r="I97" s="4">
        <f>IFERROR(GetRTD(Rtd_Server,P97,StrFieldATP,TRIM(F97),TRIM(G97)),0)</f>
        <v>0</v>
      </c>
      <c r="J97" s="20">
        <f>IFERROR(GetRTD(Rtd_Server,P97,StrFieldVol,TRIM(F97),TRIM(G97)),0)</f>
        <v>0</v>
      </c>
      <c r="K97" s="20">
        <f>IFERROR(GetRTD(Rtd_Server,P97,StrFieldOI,TRIM(F97),TRIM(G97)),0)</f>
        <v>0</v>
      </c>
      <c r="O97" s="4" t="str">
        <f t="shared" si="9"/>
        <v/>
      </c>
      <c r="P97" s="4" t="str">
        <f t="shared" si="7"/>
        <v/>
      </c>
      <c r="Q97" s="16" t="b">
        <f t="shared" si="8"/>
        <v>0</v>
      </c>
      <c r="R97" s="17">
        <f t="shared" si="10"/>
        <v>0</v>
      </c>
    </row>
    <row r="98" spans="5:18" ht="14.25" customHeight="1">
      <c r="E98" s="14" t="s">
        <v>80</v>
      </c>
      <c r="F98" s="2"/>
      <c r="G98" s="2"/>
      <c r="H98" s="4">
        <f>IFERROR(GetRTD(Rtd_Server,P98,StrField,TRIM(F98),TRIM(G98)),0)</f>
        <v>0</v>
      </c>
      <c r="I98" s="4">
        <f>IFERROR(GetRTD(Rtd_Server,P98,StrFieldATP,TRIM(F98),TRIM(G98)),0)</f>
        <v>0</v>
      </c>
      <c r="J98" s="20">
        <f>IFERROR(GetRTD(Rtd_Server,P98,StrFieldVol,TRIM(F98),TRIM(G98)),0)</f>
        <v>0</v>
      </c>
      <c r="K98" s="20">
        <f>IFERROR(GetRTD(Rtd_Server,P98,StrFieldOI,TRIM(F98),TRIM(G98)),0)</f>
        <v>0</v>
      </c>
      <c r="O98" s="4" t="str">
        <f t="shared" si="9"/>
        <v/>
      </c>
      <c r="P98" s="4" t="str">
        <f t="shared" ref="P98:P129" si="11">IF(OR(F98="",G98=""),"",O98&amp;Seperator&amp;UPPER(G98))</f>
        <v/>
      </c>
      <c r="Q98" s="16" t="b">
        <f t="shared" ref="Q98:Q129" si="12">LogValue(G98, Field, H98, I98, J98, K98)</f>
        <v>0</v>
      </c>
      <c r="R98" s="17">
        <f t="shared" si="10"/>
        <v>0</v>
      </c>
    </row>
    <row r="99" spans="5:18" ht="14.25" customHeight="1">
      <c r="E99" s="14" t="s">
        <v>80</v>
      </c>
      <c r="F99" s="2"/>
      <c r="G99" s="2"/>
      <c r="H99" s="4">
        <f>IFERROR(GetRTD(Rtd_Server,P99,StrField,TRIM(F99),TRIM(G99)),0)</f>
        <v>0</v>
      </c>
      <c r="I99" s="4">
        <f>IFERROR(GetRTD(Rtd_Server,P99,StrFieldATP,TRIM(F99),TRIM(G99)),0)</f>
        <v>0</v>
      </c>
      <c r="J99" s="20">
        <f>IFERROR(GetRTD(Rtd_Server,P99,StrFieldVol,TRIM(F99),TRIM(G99)),0)</f>
        <v>0</v>
      </c>
      <c r="K99" s="20">
        <f>IFERROR(GetRTD(Rtd_Server,P99,StrFieldOI,TRIM(F99),TRIM(G99)),0)</f>
        <v>0</v>
      </c>
      <c r="O99" s="4" t="str">
        <f t="shared" si="9"/>
        <v/>
      </c>
      <c r="P99" s="4" t="str">
        <f t="shared" si="11"/>
        <v/>
      </c>
      <c r="Q99" s="16" t="b">
        <f t="shared" si="12"/>
        <v>0</v>
      </c>
      <c r="R99" s="17">
        <f t="shared" si="10"/>
        <v>0</v>
      </c>
    </row>
    <row r="100" spans="5:18" ht="14.25" customHeight="1">
      <c r="E100" s="14" t="s">
        <v>80</v>
      </c>
      <c r="F100" s="2"/>
      <c r="G100" s="2"/>
      <c r="H100" s="4">
        <f>IFERROR(GetRTD(Rtd_Server,P100,StrField,TRIM(F100),TRIM(G100)),0)</f>
        <v>0</v>
      </c>
      <c r="I100" s="4">
        <f>IFERROR(GetRTD(Rtd_Server,P100,StrFieldATP,TRIM(F100),TRIM(G100)),0)</f>
        <v>0</v>
      </c>
      <c r="J100" s="20">
        <f>IFERROR(GetRTD(Rtd_Server,P100,StrFieldVol,TRIM(F100),TRIM(G100)),0)</f>
        <v>0</v>
      </c>
      <c r="K100" s="20">
        <f>IFERROR(GetRTD(Rtd_Server,P100,StrFieldOI,TRIM(F100),TRIM(G100)),0)</f>
        <v>0</v>
      </c>
      <c r="O100" s="4" t="str">
        <f t="shared" si="9"/>
        <v/>
      </c>
      <c r="P100" s="4" t="str">
        <f t="shared" si="11"/>
        <v/>
      </c>
      <c r="Q100" s="16" t="b">
        <f t="shared" si="12"/>
        <v>0</v>
      </c>
      <c r="R100" s="17">
        <f t="shared" si="10"/>
        <v>0</v>
      </c>
    </row>
    <row r="101" spans="5:18" ht="14.25" customHeight="1">
      <c r="E101" s="14" t="s">
        <v>80</v>
      </c>
      <c r="F101" s="2"/>
      <c r="G101" s="2"/>
      <c r="H101" s="4">
        <f>IFERROR(GetRTD(Rtd_Server,P101,StrField,TRIM(F101),TRIM(G101)),0)</f>
        <v>0</v>
      </c>
      <c r="I101" s="4">
        <f>IFERROR(GetRTD(Rtd_Server,P101,StrFieldATP,TRIM(F101),TRIM(G101)),0)</f>
        <v>0</v>
      </c>
      <c r="J101" s="20">
        <f>IFERROR(GetRTD(Rtd_Server,P101,StrFieldVol,TRIM(F101),TRIM(G101)),0)</f>
        <v>0</v>
      </c>
      <c r="K101" s="20">
        <f>IFERROR(GetRTD(Rtd_Server,P101,StrFieldOI,TRIM(F101),TRIM(G101)),0)</f>
        <v>0</v>
      </c>
      <c r="O101" s="4" t="str">
        <f t="shared" si="9"/>
        <v/>
      </c>
      <c r="P101" s="4" t="str">
        <f t="shared" si="11"/>
        <v/>
      </c>
      <c r="Q101" s="16" t="b">
        <f t="shared" si="12"/>
        <v>0</v>
      </c>
      <c r="R101" s="17">
        <f t="shared" si="10"/>
        <v>0</v>
      </c>
    </row>
    <row r="102" spans="5:18" ht="14.25" customHeight="1">
      <c r="E102" s="14" t="s">
        <v>80</v>
      </c>
      <c r="F102" s="2"/>
      <c r="G102" s="2"/>
      <c r="H102" s="4">
        <f>IFERROR(GetRTD(Rtd_Server,P102,StrField,TRIM(F102),TRIM(G102)),0)</f>
        <v>0</v>
      </c>
      <c r="I102" s="4">
        <f>IFERROR(GetRTD(Rtd_Server,P102,StrFieldATP,TRIM(F102),TRIM(G102)),0)</f>
        <v>0</v>
      </c>
      <c r="J102" s="20">
        <f>IFERROR(GetRTD(Rtd_Server,P102,StrFieldVol,TRIM(F102),TRIM(G102)),0)</f>
        <v>0</v>
      </c>
      <c r="K102" s="20">
        <f>IFERROR(GetRTD(Rtd_Server,P102,StrFieldOI,TRIM(F102),TRIM(G102)),0)</f>
        <v>0</v>
      </c>
      <c r="O102" s="4" t="str">
        <f t="shared" si="9"/>
        <v/>
      </c>
      <c r="P102" s="4" t="str">
        <f t="shared" si="11"/>
        <v/>
      </c>
      <c r="Q102" s="16" t="b">
        <f t="shared" si="12"/>
        <v>0</v>
      </c>
      <c r="R102" s="17">
        <f t="shared" si="10"/>
        <v>0</v>
      </c>
    </row>
    <row r="103" spans="5:18" ht="14.25" customHeight="1">
      <c r="E103" s="14" t="s">
        <v>80</v>
      </c>
      <c r="F103" s="2"/>
      <c r="G103" s="2"/>
      <c r="H103" s="4">
        <f>IFERROR(GetRTD(Rtd_Server,P103,StrField,TRIM(F103),TRIM(G103)),0)</f>
        <v>0</v>
      </c>
      <c r="I103" s="4">
        <f>IFERROR(GetRTD(Rtd_Server,P103,StrFieldATP,TRIM(F103),TRIM(G103)),0)</f>
        <v>0</v>
      </c>
      <c r="J103" s="20">
        <f>IFERROR(GetRTD(Rtd_Server,P103,StrFieldVol,TRIM(F103),TRIM(G103)),0)</f>
        <v>0</v>
      </c>
      <c r="K103" s="20">
        <f>IFERROR(GetRTD(Rtd_Server,P103,StrFieldOI,TRIM(F103),TRIM(G103)),0)</f>
        <v>0</v>
      </c>
      <c r="O103" s="4" t="str">
        <f t="shared" si="9"/>
        <v/>
      </c>
      <c r="P103" s="4" t="str">
        <f t="shared" si="11"/>
        <v/>
      </c>
      <c r="Q103" s="16" t="b">
        <f t="shared" si="12"/>
        <v>0</v>
      </c>
      <c r="R103" s="17">
        <f t="shared" si="10"/>
        <v>0</v>
      </c>
    </row>
    <row r="104" spans="5:18" ht="14.25" customHeight="1">
      <c r="E104" s="14" t="s">
        <v>80</v>
      </c>
      <c r="F104" s="2"/>
      <c r="G104" s="2"/>
      <c r="H104" s="4">
        <f>IFERROR(GetRTD(Rtd_Server,P104,StrField,TRIM(F104),TRIM(G104)),0)</f>
        <v>0</v>
      </c>
      <c r="I104" s="4">
        <f>IFERROR(GetRTD(Rtd_Server,P104,StrFieldATP,TRIM(F104),TRIM(G104)),0)</f>
        <v>0</v>
      </c>
      <c r="J104" s="20">
        <f>IFERROR(GetRTD(Rtd_Server,P104,StrFieldVol,TRIM(F104),TRIM(G104)),0)</f>
        <v>0</v>
      </c>
      <c r="K104" s="20">
        <f>IFERROR(GetRTD(Rtd_Server,P104,StrFieldOI,TRIM(F104),TRIM(G104)),0)</f>
        <v>0</v>
      </c>
      <c r="O104" s="4" t="str">
        <f t="shared" si="9"/>
        <v/>
      </c>
      <c r="P104" s="4" t="str">
        <f t="shared" si="11"/>
        <v/>
      </c>
      <c r="Q104" s="16" t="b">
        <f t="shared" si="12"/>
        <v>0</v>
      </c>
      <c r="R104" s="17">
        <f t="shared" si="10"/>
        <v>0</v>
      </c>
    </row>
    <row r="105" spans="5:18" ht="14.25" customHeight="1">
      <c r="E105" s="14" t="s">
        <v>80</v>
      </c>
      <c r="F105" s="2"/>
      <c r="G105" s="2"/>
      <c r="H105" s="4">
        <f>IFERROR(GetRTD(Rtd_Server,P105,StrField,TRIM(F105),TRIM(G105)),0)</f>
        <v>0</v>
      </c>
      <c r="I105" s="4">
        <f>IFERROR(GetRTD(Rtd_Server,P105,StrFieldATP,TRIM(F105),TRIM(G105)),0)</f>
        <v>0</v>
      </c>
      <c r="J105" s="20">
        <f>IFERROR(GetRTD(Rtd_Server,P105,StrFieldVol,TRIM(F105),TRIM(G105)),0)</f>
        <v>0</v>
      </c>
      <c r="K105" s="20">
        <f>IFERROR(GetRTD(Rtd_Server,P105,StrFieldOI,TRIM(F105),TRIM(G105)),0)</f>
        <v>0</v>
      </c>
      <c r="O105" s="4" t="str">
        <f t="shared" si="9"/>
        <v/>
      </c>
      <c r="P105" s="4" t="str">
        <f t="shared" si="11"/>
        <v/>
      </c>
      <c r="Q105" s="16" t="b">
        <f t="shared" si="12"/>
        <v>0</v>
      </c>
      <c r="R105" s="17">
        <f t="shared" si="10"/>
        <v>0</v>
      </c>
    </row>
    <row r="106" spans="5:18" ht="14.25" customHeight="1">
      <c r="E106" s="14" t="s">
        <v>80</v>
      </c>
      <c r="F106" s="2"/>
      <c r="G106" s="2"/>
      <c r="H106" s="4">
        <f>IFERROR(GetRTD(Rtd_Server,P106,StrField,TRIM(F106),TRIM(G106)),0)</f>
        <v>0</v>
      </c>
      <c r="I106" s="4">
        <f>IFERROR(GetRTD(Rtd_Server,P106,StrFieldATP,TRIM(F106),TRIM(G106)),0)</f>
        <v>0</v>
      </c>
      <c r="J106" s="20">
        <f>IFERROR(GetRTD(Rtd_Server,P106,StrFieldVol,TRIM(F106),TRIM(G106)),0)</f>
        <v>0</v>
      </c>
      <c r="K106" s="20">
        <f>IFERROR(GetRTD(Rtd_Server,P106,StrFieldOI,TRIM(F106),TRIM(G106)),0)</f>
        <v>0</v>
      </c>
      <c r="O106" s="4" t="str">
        <f t="shared" si="9"/>
        <v/>
      </c>
      <c r="P106" s="4" t="str">
        <f t="shared" si="11"/>
        <v/>
      </c>
      <c r="Q106" s="16" t="b">
        <f t="shared" si="12"/>
        <v>0</v>
      </c>
      <c r="R106" s="17">
        <f t="shared" si="10"/>
        <v>0</v>
      </c>
    </row>
    <row r="107" spans="5:18" ht="14.25" customHeight="1">
      <c r="E107" s="14" t="s">
        <v>80</v>
      </c>
      <c r="F107" s="2"/>
      <c r="G107" s="2"/>
      <c r="H107" s="4">
        <f>IFERROR(GetRTD(Rtd_Server,P107,StrField,TRIM(F107),TRIM(G107)),0)</f>
        <v>0</v>
      </c>
      <c r="I107" s="4">
        <f>IFERROR(GetRTD(Rtd_Server,P107,StrFieldATP,TRIM(F107),TRIM(G107)),0)</f>
        <v>0</v>
      </c>
      <c r="J107" s="20">
        <f>IFERROR(GetRTD(Rtd_Server,P107,StrFieldVol,TRIM(F107),TRIM(G107)),0)</f>
        <v>0</v>
      </c>
      <c r="K107" s="20">
        <f>IFERROR(GetRTD(Rtd_Server,P107,StrFieldOI,TRIM(F107),TRIM(G107)),0)</f>
        <v>0</v>
      </c>
      <c r="O107" s="4" t="str">
        <f t="shared" si="9"/>
        <v/>
      </c>
      <c r="P107" s="4" t="str">
        <f t="shared" si="11"/>
        <v/>
      </c>
      <c r="Q107" s="16" t="b">
        <f t="shared" si="12"/>
        <v>0</v>
      </c>
      <c r="R107" s="17">
        <f t="shared" si="10"/>
        <v>0</v>
      </c>
    </row>
    <row r="108" spans="5:18" ht="14.25" customHeight="1">
      <c r="E108" s="14" t="s">
        <v>80</v>
      </c>
      <c r="F108" s="2"/>
      <c r="G108" s="2"/>
      <c r="H108" s="4">
        <f>IFERROR(GetRTD(Rtd_Server,P108,StrField,TRIM(F108),TRIM(G108)),0)</f>
        <v>0</v>
      </c>
      <c r="I108" s="4">
        <f>IFERROR(GetRTD(Rtd_Server,P108,StrFieldATP,TRIM(F108),TRIM(G108)),0)</f>
        <v>0</v>
      </c>
      <c r="J108" s="20">
        <f>IFERROR(GetRTD(Rtd_Server,P108,StrFieldVol,TRIM(F108),TRIM(G108)),0)</f>
        <v>0</v>
      </c>
      <c r="K108" s="20">
        <f>IFERROR(GetRTD(Rtd_Server,P108,StrFieldOI,TRIM(F108),TRIM(G108)),0)</f>
        <v>0</v>
      </c>
      <c r="O108" s="4" t="str">
        <f t="shared" si="9"/>
        <v/>
      </c>
      <c r="P108" s="4" t="str">
        <f t="shared" si="11"/>
        <v/>
      </c>
      <c r="Q108" s="16" t="b">
        <f t="shared" si="12"/>
        <v>0</v>
      </c>
      <c r="R108" s="17">
        <f t="shared" si="10"/>
        <v>0</v>
      </c>
    </row>
    <row r="109" spans="5:18" ht="14.25" customHeight="1">
      <c r="E109" s="14" t="s">
        <v>80</v>
      </c>
      <c r="F109" s="2"/>
      <c r="G109" s="2"/>
      <c r="H109" s="4">
        <f>IFERROR(GetRTD(Rtd_Server,P109,StrField,TRIM(F109),TRIM(G109)),0)</f>
        <v>0</v>
      </c>
      <c r="I109" s="4">
        <f>IFERROR(GetRTD(Rtd_Server,P109,StrFieldATP,TRIM(F109),TRIM(G109)),0)</f>
        <v>0</v>
      </c>
      <c r="J109" s="20">
        <f>IFERROR(GetRTD(Rtd_Server,P109,StrFieldVol,TRIM(F109),TRIM(G109)),0)</f>
        <v>0</v>
      </c>
      <c r="K109" s="20">
        <f>IFERROR(GetRTD(Rtd_Server,P109,StrFieldOI,TRIM(F109),TRIM(G109)),0)</f>
        <v>0</v>
      </c>
      <c r="O109" s="4" t="str">
        <f t="shared" si="9"/>
        <v/>
      </c>
      <c r="P109" s="4" t="str">
        <f t="shared" si="11"/>
        <v/>
      </c>
      <c r="Q109" s="16" t="b">
        <f t="shared" si="12"/>
        <v>0</v>
      </c>
      <c r="R109" s="17">
        <f t="shared" si="10"/>
        <v>0</v>
      </c>
    </row>
    <row r="110" spans="5:18" ht="14.25" customHeight="1">
      <c r="E110" s="14" t="s">
        <v>80</v>
      </c>
      <c r="F110" s="2"/>
      <c r="G110" s="2"/>
      <c r="H110" s="4">
        <f>IFERROR(GetRTD(Rtd_Server,P110,StrField,TRIM(F110),TRIM(G110)),0)</f>
        <v>0</v>
      </c>
      <c r="I110" s="4">
        <f>IFERROR(GetRTD(Rtd_Server,P110,StrFieldATP,TRIM(F110),TRIM(G110)),0)</f>
        <v>0</v>
      </c>
      <c r="J110" s="20">
        <f>IFERROR(GetRTD(Rtd_Server,P110,StrFieldVol,TRIM(F110),TRIM(G110)),0)</f>
        <v>0</v>
      </c>
      <c r="K110" s="20">
        <f>IFERROR(GetRTD(Rtd_Server,P110,StrFieldOI,TRIM(F110),TRIM(G110)),0)</f>
        <v>0</v>
      </c>
      <c r="O110" s="4" t="str">
        <f t="shared" si="9"/>
        <v/>
      </c>
      <c r="P110" s="4" t="str">
        <f t="shared" si="11"/>
        <v/>
      </c>
      <c r="Q110" s="16" t="b">
        <f t="shared" si="12"/>
        <v>0</v>
      </c>
      <c r="R110" s="17">
        <f t="shared" si="10"/>
        <v>0</v>
      </c>
    </row>
    <row r="111" spans="5:18" ht="14.25" customHeight="1">
      <c r="E111" s="14" t="s">
        <v>80</v>
      </c>
      <c r="F111" s="2"/>
      <c r="G111" s="2"/>
      <c r="H111" s="4">
        <f>IFERROR(GetRTD(Rtd_Server,P111,StrField,TRIM(F111),TRIM(G111)),0)</f>
        <v>0</v>
      </c>
      <c r="I111" s="4">
        <f>IFERROR(GetRTD(Rtd_Server,P111,StrFieldATP,TRIM(F111),TRIM(G111)),0)</f>
        <v>0</v>
      </c>
      <c r="J111" s="20">
        <f>IFERROR(GetRTD(Rtd_Server,P111,StrFieldVol,TRIM(F111),TRIM(G111)),0)</f>
        <v>0</v>
      </c>
      <c r="K111" s="20">
        <f>IFERROR(GetRTD(Rtd_Server,P111,StrFieldOI,TRIM(F111),TRIM(G111)),0)</f>
        <v>0</v>
      </c>
      <c r="O111" s="4" t="str">
        <f t="shared" si="9"/>
        <v/>
      </c>
      <c r="P111" s="4" t="str">
        <f t="shared" si="11"/>
        <v/>
      </c>
      <c r="Q111" s="16" t="b">
        <f t="shared" si="12"/>
        <v>0</v>
      </c>
      <c r="R111" s="17">
        <f t="shared" si="10"/>
        <v>0</v>
      </c>
    </row>
    <row r="112" spans="5:18" ht="14.25" customHeight="1">
      <c r="E112" s="14" t="s">
        <v>80</v>
      </c>
      <c r="F112" s="2"/>
      <c r="G112" s="2"/>
      <c r="H112" s="4">
        <f>IFERROR(GetRTD(Rtd_Server,P112,StrField,TRIM(F112),TRIM(G112)),0)</f>
        <v>0</v>
      </c>
      <c r="I112" s="4">
        <f>IFERROR(GetRTD(Rtd_Server,P112,StrFieldATP,TRIM(F112),TRIM(G112)),0)</f>
        <v>0</v>
      </c>
      <c r="J112" s="20">
        <f>IFERROR(GetRTD(Rtd_Server,P112,StrFieldVol,TRIM(F112),TRIM(G112)),0)</f>
        <v>0</v>
      </c>
      <c r="K112" s="20">
        <f>IFERROR(GetRTD(Rtd_Server,P112,StrFieldOI,TRIM(F112),TRIM(G112)),0)</f>
        <v>0</v>
      </c>
      <c r="O112" s="4" t="str">
        <f t="shared" si="9"/>
        <v/>
      </c>
      <c r="P112" s="4" t="str">
        <f t="shared" si="11"/>
        <v/>
      </c>
      <c r="Q112" s="16" t="b">
        <f t="shared" si="12"/>
        <v>0</v>
      </c>
      <c r="R112" s="17">
        <f t="shared" si="10"/>
        <v>0</v>
      </c>
    </row>
    <row r="113" spans="5:18" ht="14.25" customHeight="1">
      <c r="E113" s="14" t="s">
        <v>80</v>
      </c>
      <c r="F113" s="2"/>
      <c r="G113" s="2"/>
      <c r="H113" s="4">
        <f>IFERROR(GetRTD(Rtd_Server,P113,StrField,TRIM(F113),TRIM(G113)),0)</f>
        <v>0</v>
      </c>
      <c r="I113" s="4">
        <f>IFERROR(GetRTD(Rtd_Server,P113,StrFieldATP,TRIM(F113),TRIM(G113)),0)</f>
        <v>0</v>
      </c>
      <c r="J113" s="20">
        <f>IFERROR(GetRTD(Rtd_Server,P113,StrFieldVol,TRIM(F113),TRIM(G113)),0)</f>
        <v>0</v>
      </c>
      <c r="K113" s="20">
        <f>IFERROR(GetRTD(Rtd_Server,P113,StrFieldOI,TRIM(F113),TRIM(G113)),0)</f>
        <v>0</v>
      </c>
      <c r="O113" s="4" t="str">
        <f t="shared" si="9"/>
        <v/>
      </c>
      <c r="P113" s="4" t="str">
        <f t="shared" si="11"/>
        <v/>
      </c>
      <c r="Q113" s="16" t="b">
        <f t="shared" si="12"/>
        <v>0</v>
      </c>
      <c r="R113" s="17">
        <f t="shared" si="10"/>
        <v>0</v>
      </c>
    </row>
    <row r="114" spans="5:18" ht="14.25" customHeight="1">
      <c r="E114" s="14" t="s">
        <v>80</v>
      </c>
      <c r="F114" s="2"/>
      <c r="G114" s="2"/>
      <c r="H114" s="4">
        <f>IFERROR(GetRTD(Rtd_Server,P114,StrField,TRIM(F114),TRIM(G114)),0)</f>
        <v>0</v>
      </c>
      <c r="I114" s="4">
        <f>IFERROR(GetRTD(Rtd_Server,P114,StrFieldATP,TRIM(F114),TRIM(G114)),0)</f>
        <v>0</v>
      </c>
      <c r="J114" s="20">
        <f>IFERROR(GetRTD(Rtd_Server,P114,StrFieldVol,TRIM(F114),TRIM(G114)),0)</f>
        <v>0</v>
      </c>
      <c r="K114" s="20">
        <f>IFERROR(GetRTD(Rtd_Server,P114,StrFieldOI,TRIM(F114),TRIM(G114)),0)</f>
        <v>0</v>
      </c>
      <c r="O114" s="4" t="str">
        <f t="shared" si="9"/>
        <v/>
      </c>
      <c r="P114" s="4" t="str">
        <f t="shared" si="11"/>
        <v/>
      </c>
      <c r="Q114" s="16" t="b">
        <f t="shared" si="12"/>
        <v>0</v>
      </c>
      <c r="R114" s="17">
        <f t="shared" si="10"/>
        <v>0</v>
      </c>
    </row>
    <row r="115" spans="5:18" ht="14.25" customHeight="1">
      <c r="E115" s="14" t="s">
        <v>80</v>
      </c>
      <c r="F115" s="2"/>
      <c r="G115" s="2"/>
      <c r="H115" s="4">
        <f>IFERROR(GetRTD(Rtd_Server,P115,StrField,TRIM(F115),TRIM(G115)),0)</f>
        <v>0</v>
      </c>
      <c r="I115" s="4">
        <f>IFERROR(GetRTD(Rtd_Server,P115,StrFieldATP,TRIM(F115),TRIM(G115)),0)</f>
        <v>0</v>
      </c>
      <c r="J115" s="20">
        <f>IFERROR(GetRTD(Rtd_Server,P115,StrFieldVol,TRIM(F115),TRIM(G115)),0)</f>
        <v>0</v>
      </c>
      <c r="K115" s="20">
        <f>IFERROR(GetRTD(Rtd_Server,P115,StrFieldOI,TRIM(F115),TRIM(G115)),0)</f>
        <v>0</v>
      </c>
      <c r="O115" s="4" t="str">
        <f t="shared" si="9"/>
        <v/>
      </c>
      <c r="P115" s="4" t="str">
        <f t="shared" si="11"/>
        <v/>
      </c>
      <c r="Q115" s="16" t="b">
        <f t="shared" si="12"/>
        <v>0</v>
      </c>
      <c r="R115" s="17">
        <f t="shared" si="10"/>
        <v>0</v>
      </c>
    </row>
    <row r="116" spans="5:18" ht="14.25" customHeight="1">
      <c r="E116" s="14" t="s">
        <v>80</v>
      </c>
      <c r="F116" s="2"/>
      <c r="G116" s="2"/>
      <c r="H116" s="4">
        <f>IFERROR(GetRTD(Rtd_Server,P116,StrField,TRIM(F116),TRIM(G116)),0)</f>
        <v>0</v>
      </c>
      <c r="I116" s="4">
        <f>IFERROR(GetRTD(Rtd_Server,P116,StrFieldATP,TRIM(F116),TRIM(G116)),0)</f>
        <v>0</v>
      </c>
      <c r="J116" s="20">
        <f>IFERROR(GetRTD(Rtd_Server,P116,StrFieldVol,TRIM(F116),TRIM(G116)),0)</f>
        <v>0</v>
      </c>
      <c r="K116" s="20">
        <f>IFERROR(GetRTD(Rtd_Server,P116,StrFieldOI,TRIM(F116),TRIM(G116)),0)</f>
        <v>0</v>
      </c>
      <c r="O116" s="4" t="str">
        <f t="shared" si="9"/>
        <v/>
      </c>
      <c r="P116" s="4" t="str">
        <f t="shared" si="11"/>
        <v/>
      </c>
      <c r="Q116" s="16" t="b">
        <f t="shared" si="12"/>
        <v>0</v>
      </c>
      <c r="R116" s="17">
        <f t="shared" si="10"/>
        <v>0</v>
      </c>
    </row>
    <row r="117" spans="5:18" ht="14.25" customHeight="1">
      <c r="E117" s="14" t="s">
        <v>80</v>
      </c>
      <c r="F117" s="2"/>
      <c r="G117" s="2"/>
      <c r="H117" s="4">
        <f>IFERROR(GetRTD(Rtd_Server,P117,StrField,TRIM(F117),TRIM(G117)),0)</f>
        <v>0</v>
      </c>
      <c r="I117" s="4">
        <f>IFERROR(GetRTD(Rtd_Server,P117,StrFieldATP,TRIM(F117),TRIM(G117)),0)</f>
        <v>0</v>
      </c>
      <c r="J117" s="20">
        <f>IFERROR(GetRTD(Rtd_Server,P117,StrFieldVol,TRIM(F117),TRIM(G117)),0)</f>
        <v>0</v>
      </c>
      <c r="K117" s="20">
        <f>IFERROR(GetRTD(Rtd_Server,P117,StrFieldOI,TRIM(F117),TRIM(G117)),0)</f>
        <v>0</v>
      </c>
      <c r="O117" s="4" t="str">
        <f t="shared" si="9"/>
        <v/>
      </c>
      <c r="P117" s="4" t="str">
        <f t="shared" si="11"/>
        <v/>
      </c>
      <c r="Q117" s="16" t="b">
        <f t="shared" si="12"/>
        <v>0</v>
      </c>
      <c r="R117" s="17">
        <f t="shared" si="10"/>
        <v>0</v>
      </c>
    </row>
    <row r="118" spans="5:18" ht="14.25" customHeight="1">
      <c r="E118" s="14" t="s">
        <v>80</v>
      </c>
      <c r="F118" s="2"/>
      <c r="G118" s="2"/>
      <c r="H118" s="4">
        <f>IFERROR(GetRTD(Rtd_Server,P118,StrField,TRIM(F118),TRIM(G118)),0)</f>
        <v>0</v>
      </c>
      <c r="I118" s="4">
        <f>IFERROR(GetRTD(Rtd_Server,P118,StrFieldATP,TRIM(F118),TRIM(G118)),0)</f>
        <v>0</v>
      </c>
      <c r="J118" s="20">
        <f>IFERROR(GetRTD(Rtd_Server,P118,StrFieldVol,TRIM(F118),TRIM(G118)),0)</f>
        <v>0</v>
      </c>
      <c r="K118" s="20">
        <f>IFERROR(GetRTD(Rtd_Server,P118,StrFieldOI,TRIM(F118),TRIM(G118)),0)</f>
        <v>0</v>
      </c>
      <c r="O118" s="4" t="str">
        <f t="shared" si="9"/>
        <v/>
      </c>
      <c r="P118" s="4" t="str">
        <f t="shared" si="11"/>
        <v/>
      </c>
      <c r="Q118" s="16" t="b">
        <f t="shared" si="12"/>
        <v>0</v>
      </c>
      <c r="R118" s="17">
        <f t="shared" si="10"/>
        <v>0</v>
      </c>
    </row>
    <row r="119" spans="5:18" ht="14.25" customHeight="1">
      <c r="E119" s="14" t="s">
        <v>80</v>
      </c>
      <c r="F119" s="2"/>
      <c r="G119" s="2"/>
      <c r="H119" s="4">
        <f>IFERROR(GetRTD(Rtd_Server,P119,StrField,TRIM(F119),TRIM(G119)),0)</f>
        <v>0</v>
      </c>
      <c r="I119" s="4">
        <f>IFERROR(GetRTD(Rtd_Server,P119,StrFieldATP,TRIM(F119),TRIM(G119)),0)</f>
        <v>0</v>
      </c>
      <c r="J119" s="20">
        <f>IFERROR(GetRTD(Rtd_Server,P119,StrFieldVol,TRIM(F119),TRIM(G119)),0)</f>
        <v>0</v>
      </c>
      <c r="K119" s="20">
        <f>IFERROR(GetRTD(Rtd_Server,P119,StrFieldOI,TRIM(F119),TRIM(G119)),0)</f>
        <v>0</v>
      </c>
      <c r="O119" s="4" t="str">
        <f t="shared" si="9"/>
        <v/>
      </c>
      <c r="P119" s="4" t="str">
        <f t="shared" si="11"/>
        <v/>
      </c>
      <c r="Q119" s="16" t="b">
        <f t="shared" si="12"/>
        <v>0</v>
      </c>
      <c r="R119" s="17">
        <f t="shared" si="10"/>
        <v>0</v>
      </c>
    </row>
    <row r="120" spans="5:18" ht="14.25" customHeight="1">
      <c r="E120" s="14" t="s">
        <v>80</v>
      </c>
      <c r="F120" s="2"/>
      <c r="G120" s="2"/>
      <c r="H120" s="4">
        <f>IFERROR(GetRTD(Rtd_Server,P120,StrField,TRIM(F120),TRIM(G120)),0)</f>
        <v>0</v>
      </c>
      <c r="I120" s="4">
        <f>IFERROR(GetRTD(Rtd_Server,P120,StrFieldATP,TRIM(F120),TRIM(G120)),0)</f>
        <v>0</v>
      </c>
      <c r="J120" s="20">
        <f>IFERROR(GetRTD(Rtd_Server,P120,StrFieldVol,TRIM(F120),TRIM(G120)),0)</f>
        <v>0</v>
      </c>
      <c r="K120" s="20">
        <f>IFERROR(GetRTD(Rtd_Server,P120,StrFieldOI,TRIM(F120),TRIM(G120)),0)</f>
        <v>0</v>
      </c>
      <c r="O120" s="4" t="str">
        <f t="shared" si="9"/>
        <v/>
      </c>
      <c r="P120" s="4" t="str">
        <f t="shared" si="11"/>
        <v/>
      </c>
      <c r="Q120" s="16" t="b">
        <f t="shared" si="12"/>
        <v>0</v>
      </c>
      <c r="R120" s="17">
        <f t="shared" si="10"/>
        <v>0</v>
      </c>
    </row>
    <row r="121" spans="5:18" ht="14.25" customHeight="1">
      <c r="E121" s="14" t="s">
        <v>80</v>
      </c>
      <c r="F121" s="2"/>
      <c r="G121" s="2"/>
      <c r="H121" s="4">
        <f>IFERROR(GetRTD(Rtd_Server,P121,StrField,TRIM(F121),TRIM(G121)),0)</f>
        <v>0</v>
      </c>
      <c r="I121" s="4">
        <f>IFERROR(GetRTD(Rtd_Server,P121,StrFieldATP,TRIM(F121),TRIM(G121)),0)</f>
        <v>0</v>
      </c>
      <c r="J121" s="20">
        <f>IFERROR(GetRTD(Rtd_Server,P121,StrFieldVol,TRIM(F121),TRIM(G121)),0)</f>
        <v>0</v>
      </c>
      <c r="K121" s="20">
        <f>IFERROR(GetRTD(Rtd_Server,P121,StrFieldOI,TRIM(F121),TRIM(G121)),0)</f>
        <v>0</v>
      </c>
      <c r="O121" s="4" t="str">
        <f t="shared" si="9"/>
        <v/>
      </c>
      <c r="P121" s="4" t="str">
        <f t="shared" si="11"/>
        <v/>
      </c>
      <c r="Q121" s="16" t="b">
        <f t="shared" si="12"/>
        <v>0</v>
      </c>
      <c r="R121" s="17">
        <f t="shared" si="10"/>
        <v>0</v>
      </c>
    </row>
    <row r="122" spans="5:18" ht="14.25" customHeight="1">
      <c r="E122" s="14" t="s">
        <v>80</v>
      </c>
      <c r="F122" s="2"/>
      <c r="G122" s="2"/>
      <c r="H122" s="4">
        <f>IFERROR(GetRTD(Rtd_Server,P122,StrField,TRIM(F122),TRIM(G122)),0)</f>
        <v>0</v>
      </c>
      <c r="I122" s="4">
        <f>IFERROR(GetRTD(Rtd_Server,P122,StrFieldATP,TRIM(F122),TRIM(G122)),0)</f>
        <v>0</v>
      </c>
      <c r="J122" s="20">
        <f>IFERROR(GetRTD(Rtd_Server,P122,StrFieldVol,TRIM(F122),TRIM(G122)),0)</f>
        <v>0</v>
      </c>
      <c r="K122" s="20">
        <f>IFERROR(GetRTD(Rtd_Server,P122,StrFieldOI,TRIM(F122),TRIM(G122)),0)</f>
        <v>0</v>
      </c>
      <c r="O122" s="4" t="str">
        <f t="shared" si="9"/>
        <v/>
      </c>
      <c r="P122" s="4" t="str">
        <f t="shared" si="11"/>
        <v/>
      </c>
      <c r="Q122" s="16" t="b">
        <f t="shared" si="12"/>
        <v>0</v>
      </c>
      <c r="R122" s="17">
        <f t="shared" si="10"/>
        <v>0</v>
      </c>
    </row>
    <row r="123" spans="5:18" ht="14.25" customHeight="1">
      <c r="E123" s="14" t="s">
        <v>80</v>
      </c>
      <c r="F123" s="2"/>
      <c r="G123" s="2"/>
      <c r="H123" s="4">
        <f>IFERROR(GetRTD(Rtd_Server,P123,StrField,TRIM(F123),TRIM(G123)),0)</f>
        <v>0</v>
      </c>
      <c r="I123" s="4">
        <f>IFERROR(GetRTD(Rtd_Server,P123,StrFieldATP,TRIM(F123),TRIM(G123)),0)</f>
        <v>0</v>
      </c>
      <c r="J123" s="20">
        <f>IFERROR(GetRTD(Rtd_Server,P123,StrFieldVol,TRIM(F123),TRIM(G123)),0)</f>
        <v>0</v>
      </c>
      <c r="K123" s="20">
        <f>IFERROR(GetRTD(Rtd_Server,P123,StrFieldOI,TRIM(F123),TRIM(G123)),0)</f>
        <v>0</v>
      </c>
      <c r="O123" s="4" t="str">
        <f t="shared" si="9"/>
        <v/>
      </c>
      <c r="P123" s="4" t="str">
        <f t="shared" si="11"/>
        <v/>
      </c>
      <c r="Q123" s="16" t="b">
        <f t="shared" si="12"/>
        <v>0</v>
      </c>
      <c r="R123" s="17">
        <f t="shared" si="10"/>
        <v>0</v>
      </c>
    </row>
    <row r="124" spans="5:18" ht="14.25" customHeight="1">
      <c r="E124" s="14" t="s">
        <v>80</v>
      </c>
      <c r="F124" s="2"/>
      <c r="G124" s="2"/>
      <c r="H124" s="4">
        <f>IFERROR(GetRTD(Rtd_Server,P124,StrField,TRIM(F124),TRIM(G124)),0)</f>
        <v>0</v>
      </c>
      <c r="I124" s="4">
        <f>IFERROR(GetRTD(Rtd_Server,P124,StrFieldATP,TRIM(F124),TRIM(G124)),0)</f>
        <v>0</v>
      </c>
      <c r="J124" s="20">
        <f>IFERROR(GetRTD(Rtd_Server,P124,StrFieldVol,TRIM(F124),TRIM(G124)),0)</f>
        <v>0</v>
      </c>
      <c r="K124" s="20">
        <f>IFERROR(GetRTD(Rtd_Server,P124,StrFieldOI,TRIM(F124),TRIM(G124)),0)</f>
        <v>0</v>
      </c>
      <c r="O124" s="4" t="str">
        <f t="shared" si="9"/>
        <v/>
      </c>
      <c r="P124" s="4" t="str">
        <f t="shared" si="11"/>
        <v/>
      </c>
      <c r="Q124" s="16" t="b">
        <f t="shared" si="12"/>
        <v>0</v>
      </c>
      <c r="R124" s="17">
        <f t="shared" si="10"/>
        <v>0</v>
      </c>
    </row>
    <row r="125" spans="5:18" ht="14.25" customHeight="1">
      <c r="E125" s="14" t="s">
        <v>80</v>
      </c>
      <c r="F125" s="2"/>
      <c r="G125" s="2"/>
      <c r="H125" s="4">
        <f>IFERROR(GetRTD(Rtd_Server,P125,StrField,TRIM(F125),TRIM(G125)),0)</f>
        <v>0</v>
      </c>
      <c r="I125" s="4">
        <f>IFERROR(GetRTD(Rtd_Server,P125,StrFieldATP,TRIM(F125),TRIM(G125)),0)</f>
        <v>0</v>
      </c>
      <c r="J125" s="20">
        <f>IFERROR(GetRTD(Rtd_Server,P125,StrFieldVol,TRIM(F125),TRIM(G125)),0)</f>
        <v>0</v>
      </c>
      <c r="K125" s="20">
        <f>IFERROR(GetRTD(Rtd_Server,P125,StrFieldOI,TRIM(F125),TRIM(G125)),0)</f>
        <v>0</v>
      </c>
      <c r="O125" s="4" t="str">
        <f t="shared" si="9"/>
        <v/>
      </c>
      <c r="P125" s="4" t="str">
        <f t="shared" si="11"/>
        <v/>
      </c>
      <c r="Q125" s="16" t="b">
        <f t="shared" si="12"/>
        <v>0</v>
      </c>
      <c r="R125" s="17">
        <f t="shared" si="10"/>
        <v>0</v>
      </c>
    </row>
    <row r="126" spans="5:18" ht="14.25" customHeight="1">
      <c r="E126" s="14" t="s">
        <v>80</v>
      </c>
      <c r="F126" s="2"/>
      <c r="G126" s="2"/>
      <c r="H126" s="4">
        <f>IFERROR(GetRTD(Rtd_Server,P126,StrField,TRIM(F126),TRIM(G126)),0)</f>
        <v>0</v>
      </c>
      <c r="I126" s="4">
        <f>IFERROR(GetRTD(Rtd_Server,P126,StrFieldATP,TRIM(F126),TRIM(G126)),0)</f>
        <v>0</v>
      </c>
      <c r="J126" s="20">
        <f>IFERROR(GetRTD(Rtd_Server,P126,StrFieldVol,TRIM(F126),TRIM(G126)),0)</f>
        <v>0</v>
      </c>
      <c r="K126" s="20">
        <f>IFERROR(GetRTD(Rtd_Server,P126,StrFieldOI,TRIM(F126),TRIM(G126)),0)</f>
        <v>0</v>
      </c>
      <c r="O126" s="4" t="str">
        <f t="shared" si="9"/>
        <v/>
      </c>
      <c r="P126" s="4" t="str">
        <f t="shared" si="11"/>
        <v/>
      </c>
      <c r="Q126" s="16" t="b">
        <f t="shared" si="12"/>
        <v>0</v>
      </c>
      <c r="R126" s="17">
        <f t="shared" si="10"/>
        <v>0</v>
      </c>
    </row>
    <row r="127" spans="5:18" ht="14.25" customHeight="1">
      <c r="E127" s="14" t="s">
        <v>80</v>
      </c>
      <c r="F127" s="2"/>
      <c r="G127" s="2"/>
      <c r="H127" s="4">
        <f>IFERROR(GetRTD(Rtd_Server,P127,StrField,TRIM(F127),TRIM(G127)),0)</f>
        <v>0</v>
      </c>
      <c r="I127" s="4">
        <f>IFERROR(GetRTD(Rtd_Server,P127,StrFieldATP,TRIM(F127),TRIM(G127)),0)</f>
        <v>0</v>
      </c>
      <c r="J127" s="20">
        <f>IFERROR(GetRTD(Rtd_Server,P127,StrFieldVol,TRIM(F127),TRIM(G127)),0)</f>
        <v>0</v>
      </c>
      <c r="K127" s="20">
        <f>IFERROR(GetRTD(Rtd_Server,P127,StrFieldOI,TRIM(F127),TRIM(G127)),0)</f>
        <v>0</v>
      </c>
      <c r="O127" s="4" t="str">
        <f t="shared" si="9"/>
        <v/>
      </c>
      <c r="P127" s="4" t="str">
        <f t="shared" si="11"/>
        <v/>
      </c>
      <c r="Q127" s="16" t="b">
        <f t="shared" si="12"/>
        <v>0</v>
      </c>
      <c r="R127" s="17">
        <f t="shared" si="10"/>
        <v>0</v>
      </c>
    </row>
    <row r="128" spans="5:18" ht="14.25" customHeight="1">
      <c r="E128" s="14" t="s">
        <v>80</v>
      </c>
      <c r="F128" s="2"/>
      <c r="G128" s="2"/>
      <c r="H128" s="4">
        <f>IFERROR(GetRTD(Rtd_Server,P128,StrField,TRIM(F128),TRIM(G128)),0)</f>
        <v>0</v>
      </c>
      <c r="I128" s="4">
        <f>IFERROR(GetRTD(Rtd_Server,P128,StrFieldATP,TRIM(F128),TRIM(G128)),0)</f>
        <v>0</v>
      </c>
      <c r="J128" s="20">
        <f>IFERROR(GetRTD(Rtd_Server,P128,StrFieldVol,TRIM(F128),TRIM(G128)),0)</f>
        <v>0</v>
      </c>
      <c r="K128" s="20">
        <f>IFERROR(GetRTD(Rtd_Server,P128,StrFieldOI,TRIM(F128),TRIM(G128)),0)</f>
        <v>0</v>
      </c>
      <c r="O128" s="4" t="str">
        <f t="shared" si="9"/>
        <v/>
      </c>
      <c r="P128" s="4" t="str">
        <f t="shared" si="11"/>
        <v/>
      </c>
      <c r="Q128" s="16" t="b">
        <f t="shared" si="12"/>
        <v>0</v>
      </c>
      <c r="R128" s="17">
        <f t="shared" si="10"/>
        <v>0</v>
      </c>
    </row>
    <row r="129" spans="5:18" ht="14.25" customHeight="1">
      <c r="E129" s="14" t="s">
        <v>80</v>
      </c>
      <c r="F129" s="2"/>
      <c r="G129" s="2"/>
      <c r="H129" s="4">
        <f>IFERROR(GetRTD(Rtd_Server,P129,StrField,TRIM(F129),TRIM(G129)),0)</f>
        <v>0</v>
      </c>
      <c r="I129" s="4">
        <f>IFERROR(GetRTD(Rtd_Server,P129,StrFieldATP,TRIM(F129),TRIM(G129)),0)</f>
        <v>0</v>
      </c>
      <c r="J129" s="20">
        <f>IFERROR(GetRTD(Rtd_Server,P129,StrFieldVol,TRIM(F129),TRIM(G129)),0)</f>
        <v>0</v>
      </c>
      <c r="K129" s="20">
        <f>IFERROR(GetRTD(Rtd_Server,P129,StrFieldOI,TRIM(F129),TRIM(G129)),0)</f>
        <v>0</v>
      </c>
      <c r="O129" s="4" t="str">
        <f t="shared" si="9"/>
        <v/>
      </c>
      <c r="P129" s="4" t="str">
        <f t="shared" si="11"/>
        <v/>
      </c>
      <c r="Q129" s="16" t="b">
        <f t="shared" si="12"/>
        <v>0</v>
      </c>
      <c r="R129" s="17">
        <f t="shared" si="10"/>
        <v>0</v>
      </c>
    </row>
    <row r="130" spans="5:18" ht="14.25" customHeight="1">
      <c r="E130" s="14" t="s">
        <v>80</v>
      </c>
      <c r="F130" s="2"/>
      <c r="G130" s="2"/>
      <c r="H130" s="4">
        <f>IFERROR(GetRTD(Rtd_Server,P130,StrField,TRIM(F130),TRIM(G130)),0)</f>
        <v>0</v>
      </c>
      <c r="I130" s="4">
        <f>IFERROR(GetRTD(Rtd_Server,P130,StrFieldATP,TRIM(F130),TRIM(G130)),0)</f>
        <v>0</v>
      </c>
      <c r="J130" s="20">
        <f>IFERROR(GetRTD(Rtd_Server,P130,StrFieldVol,TRIM(F130),TRIM(G130)),0)</f>
        <v>0</v>
      </c>
      <c r="K130" s="20">
        <f>IFERROR(GetRTD(Rtd_Server,P130,StrFieldOI,TRIM(F130),TRIM(G130)),0)</f>
        <v>0</v>
      </c>
      <c r="O130" s="4" t="str">
        <f t="shared" si="9"/>
        <v/>
      </c>
      <c r="P130" s="4" t="str">
        <f t="shared" ref="P130:P161" si="13">IF(OR(F130="",G130=""),"",O130&amp;Seperator&amp;UPPER(G130))</f>
        <v/>
      </c>
      <c r="Q130" s="16" t="b">
        <f t="shared" ref="Q130:Q161" si="14">LogValue(G130, Field, H130, I130, J130, K130)</f>
        <v>0</v>
      </c>
      <c r="R130" s="17">
        <f t="shared" si="10"/>
        <v>0</v>
      </c>
    </row>
    <row r="131" spans="5:18" ht="14.25" customHeight="1">
      <c r="E131" s="14" t="s">
        <v>80</v>
      </c>
      <c r="F131" s="2"/>
      <c r="G131" s="2"/>
      <c r="H131" s="4">
        <f>IFERROR(GetRTD(Rtd_Server,P131,StrField,TRIM(F131),TRIM(G131)),0)</f>
        <v>0</v>
      </c>
      <c r="I131" s="4">
        <f>IFERROR(GetRTD(Rtd_Server,P131,StrFieldATP,TRIM(F131),TRIM(G131)),0)</f>
        <v>0</v>
      </c>
      <c r="J131" s="20">
        <f>IFERROR(GetRTD(Rtd_Server,P131,StrFieldVol,TRIM(F131),TRIM(G131)),0)</f>
        <v>0</v>
      </c>
      <c r="K131" s="20">
        <f>IFERROR(GetRTD(Rtd_Server,P131,StrFieldOI,TRIM(F131),TRIM(G131)),0)</f>
        <v>0</v>
      </c>
      <c r="O131" s="4" t="str">
        <f t="shared" ref="O131:O194" si="15">IFERROR(IF(Terminal="PI",VLOOKUP(F131,RevExch_Table,2,FALSE),IF(Terminal="NEST",VLOOKUP(F131,RevExch_Table,3,FALSE),VLOOKUP(F131,RevExch_Table,4,FALSE))),"")</f>
        <v/>
      </c>
      <c r="P131" s="4" t="str">
        <f t="shared" si="13"/>
        <v/>
      </c>
      <c r="Q131" s="16" t="b">
        <f t="shared" si="14"/>
        <v>0</v>
      </c>
      <c r="R131" s="17">
        <f t="shared" ref="R131:R194" si="16">GetValueColor(G131,H131,"Ltp")</f>
        <v>0</v>
      </c>
    </row>
    <row r="132" spans="5:18" ht="14.25" customHeight="1">
      <c r="E132" s="14" t="s">
        <v>80</v>
      </c>
      <c r="F132" s="2"/>
      <c r="G132" s="2"/>
      <c r="H132" s="4">
        <f>IFERROR(GetRTD(Rtd_Server,P132,StrField,TRIM(F132),TRIM(G132)),0)</f>
        <v>0</v>
      </c>
      <c r="I132" s="4">
        <f>IFERROR(GetRTD(Rtd_Server,P132,StrFieldATP,TRIM(F132),TRIM(G132)),0)</f>
        <v>0</v>
      </c>
      <c r="J132" s="20">
        <f>IFERROR(GetRTD(Rtd_Server,P132,StrFieldVol,TRIM(F132),TRIM(G132)),0)</f>
        <v>0</v>
      </c>
      <c r="K132" s="20">
        <f>IFERROR(GetRTD(Rtd_Server,P132,StrFieldOI,TRIM(F132),TRIM(G132)),0)</f>
        <v>0</v>
      </c>
      <c r="O132" s="4" t="str">
        <f t="shared" si="15"/>
        <v/>
      </c>
      <c r="P132" s="4" t="str">
        <f t="shared" si="13"/>
        <v/>
      </c>
      <c r="Q132" s="16" t="b">
        <f t="shared" si="14"/>
        <v>0</v>
      </c>
      <c r="R132" s="17">
        <f t="shared" si="16"/>
        <v>0</v>
      </c>
    </row>
    <row r="133" spans="5:18" ht="14.25" customHeight="1">
      <c r="E133" s="14" t="s">
        <v>80</v>
      </c>
      <c r="F133" s="2"/>
      <c r="G133" s="2"/>
      <c r="H133" s="4">
        <f>IFERROR(GetRTD(Rtd_Server,P133,StrField,TRIM(F133),TRIM(G133)),0)</f>
        <v>0</v>
      </c>
      <c r="I133" s="4">
        <f>IFERROR(GetRTD(Rtd_Server,P133,StrFieldATP,TRIM(F133),TRIM(G133)),0)</f>
        <v>0</v>
      </c>
      <c r="J133" s="20">
        <f>IFERROR(GetRTD(Rtd_Server,P133,StrFieldVol,TRIM(F133),TRIM(G133)),0)</f>
        <v>0</v>
      </c>
      <c r="K133" s="20">
        <f>IFERROR(GetRTD(Rtd_Server,P133,StrFieldOI,TRIM(F133),TRIM(G133)),0)</f>
        <v>0</v>
      </c>
      <c r="O133" s="4" t="str">
        <f t="shared" si="15"/>
        <v/>
      </c>
      <c r="P133" s="4" t="str">
        <f t="shared" si="13"/>
        <v/>
      </c>
      <c r="Q133" s="16" t="b">
        <f t="shared" si="14"/>
        <v>0</v>
      </c>
      <c r="R133" s="17">
        <f t="shared" si="16"/>
        <v>0</v>
      </c>
    </row>
    <row r="134" spans="5:18" ht="14.25" customHeight="1">
      <c r="E134" s="14" t="s">
        <v>80</v>
      </c>
      <c r="F134" s="2"/>
      <c r="G134" s="2"/>
      <c r="H134" s="4">
        <f>IFERROR(GetRTD(Rtd_Server,P134,StrField,TRIM(F134),TRIM(G134)),0)</f>
        <v>0</v>
      </c>
      <c r="I134" s="4">
        <f>IFERROR(GetRTD(Rtd_Server,P134,StrFieldATP,TRIM(F134),TRIM(G134)),0)</f>
        <v>0</v>
      </c>
      <c r="J134" s="20">
        <f>IFERROR(GetRTD(Rtd_Server,P134,StrFieldVol,TRIM(F134),TRIM(G134)),0)</f>
        <v>0</v>
      </c>
      <c r="K134" s="20">
        <f>IFERROR(GetRTD(Rtd_Server,P134,StrFieldOI,TRIM(F134),TRIM(G134)),0)</f>
        <v>0</v>
      </c>
      <c r="O134" s="4" t="str">
        <f t="shared" si="15"/>
        <v/>
      </c>
      <c r="P134" s="4" t="str">
        <f t="shared" si="13"/>
        <v/>
      </c>
      <c r="Q134" s="16" t="b">
        <f t="shared" si="14"/>
        <v>0</v>
      </c>
      <c r="R134" s="17">
        <f t="shared" si="16"/>
        <v>0</v>
      </c>
    </row>
    <row r="135" spans="5:18" ht="14.25" customHeight="1">
      <c r="E135" s="14" t="s">
        <v>80</v>
      </c>
      <c r="F135" s="2"/>
      <c r="G135" s="2"/>
      <c r="H135" s="4">
        <f>IFERROR(GetRTD(Rtd_Server,P135,StrField,TRIM(F135),TRIM(G135)),0)</f>
        <v>0</v>
      </c>
      <c r="I135" s="4">
        <f>IFERROR(GetRTD(Rtd_Server,P135,StrFieldATP,TRIM(F135),TRIM(G135)),0)</f>
        <v>0</v>
      </c>
      <c r="J135" s="20">
        <f>IFERROR(GetRTD(Rtd_Server,P135,StrFieldVol,TRIM(F135),TRIM(G135)),0)</f>
        <v>0</v>
      </c>
      <c r="K135" s="20">
        <f>IFERROR(GetRTD(Rtd_Server,P135,StrFieldOI,TRIM(F135),TRIM(G135)),0)</f>
        <v>0</v>
      </c>
      <c r="O135" s="4" t="str">
        <f t="shared" si="15"/>
        <v/>
      </c>
      <c r="P135" s="4" t="str">
        <f t="shared" si="13"/>
        <v/>
      </c>
      <c r="Q135" s="16" t="b">
        <f t="shared" si="14"/>
        <v>0</v>
      </c>
      <c r="R135" s="17">
        <f t="shared" si="16"/>
        <v>0</v>
      </c>
    </row>
    <row r="136" spans="5:18" ht="14.25" customHeight="1">
      <c r="E136" s="14" t="s">
        <v>80</v>
      </c>
      <c r="F136" s="2"/>
      <c r="G136" s="2"/>
      <c r="H136" s="4">
        <f>IFERROR(GetRTD(Rtd_Server,P136,StrField,TRIM(F136),TRIM(G136)),0)</f>
        <v>0</v>
      </c>
      <c r="I136" s="4">
        <f>IFERROR(GetRTD(Rtd_Server,P136,StrFieldATP,TRIM(F136),TRIM(G136)),0)</f>
        <v>0</v>
      </c>
      <c r="J136" s="20">
        <f>IFERROR(GetRTD(Rtd_Server,P136,StrFieldVol,TRIM(F136),TRIM(G136)),0)</f>
        <v>0</v>
      </c>
      <c r="K136" s="20">
        <f>IFERROR(GetRTD(Rtd_Server,P136,StrFieldOI,TRIM(F136),TRIM(G136)),0)</f>
        <v>0</v>
      </c>
      <c r="O136" s="4" t="str">
        <f t="shared" si="15"/>
        <v/>
      </c>
      <c r="P136" s="4" t="str">
        <f t="shared" si="13"/>
        <v/>
      </c>
      <c r="Q136" s="16" t="b">
        <f t="shared" si="14"/>
        <v>0</v>
      </c>
      <c r="R136" s="17">
        <f t="shared" si="16"/>
        <v>0</v>
      </c>
    </row>
    <row r="137" spans="5:18" ht="14.25" customHeight="1">
      <c r="E137" s="14" t="s">
        <v>80</v>
      </c>
      <c r="F137" s="2"/>
      <c r="G137" s="2"/>
      <c r="H137" s="4">
        <f>IFERROR(GetRTD(Rtd_Server,P137,StrField,TRIM(F137),TRIM(G137)),0)</f>
        <v>0</v>
      </c>
      <c r="I137" s="4">
        <f>IFERROR(GetRTD(Rtd_Server,P137,StrFieldATP,TRIM(F137),TRIM(G137)),0)</f>
        <v>0</v>
      </c>
      <c r="J137" s="20">
        <f>IFERROR(GetRTD(Rtd_Server,P137,StrFieldVol,TRIM(F137),TRIM(G137)),0)</f>
        <v>0</v>
      </c>
      <c r="K137" s="20">
        <f>IFERROR(GetRTD(Rtd_Server,P137,StrFieldOI,TRIM(F137),TRIM(G137)),0)</f>
        <v>0</v>
      </c>
      <c r="O137" s="4" t="str">
        <f t="shared" si="15"/>
        <v/>
      </c>
      <c r="P137" s="4" t="str">
        <f t="shared" si="13"/>
        <v/>
      </c>
      <c r="Q137" s="16" t="b">
        <f t="shared" si="14"/>
        <v>0</v>
      </c>
      <c r="R137" s="17">
        <f t="shared" si="16"/>
        <v>0</v>
      </c>
    </row>
    <row r="138" spans="5:18" ht="14.25" customHeight="1">
      <c r="E138" s="14" t="s">
        <v>80</v>
      </c>
      <c r="F138" s="2"/>
      <c r="G138" s="2"/>
      <c r="H138" s="4">
        <f>IFERROR(GetRTD(Rtd_Server,P138,StrField,TRIM(F138),TRIM(G138)),0)</f>
        <v>0</v>
      </c>
      <c r="I138" s="4">
        <f>IFERROR(GetRTD(Rtd_Server,P138,StrFieldATP,TRIM(F138),TRIM(G138)),0)</f>
        <v>0</v>
      </c>
      <c r="J138" s="20">
        <f>IFERROR(GetRTD(Rtd_Server,P138,StrFieldVol,TRIM(F138),TRIM(G138)),0)</f>
        <v>0</v>
      </c>
      <c r="K138" s="20">
        <f>IFERROR(GetRTD(Rtd_Server,P138,StrFieldOI,TRIM(F138),TRIM(G138)),0)</f>
        <v>0</v>
      </c>
      <c r="O138" s="4" t="str">
        <f t="shared" si="15"/>
        <v/>
      </c>
      <c r="P138" s="4" t="str">
        <f t="shared" si="13"/>
        <v/>
      </c>
      <c r="Q138" s="16" t="b">
        <f t="shared" si="14"/>
        <v>0</v>
      </c>
      <c r="R138" s="17">
        <f t="shared" si="16"/>
        <v>0</v>
      </c>
    </row>
    <row r="139" spans="5:18" ht="14.25" customHeight="1">
      <c r="E139" s="14" t="s">
        <v>80</v>
      </c>
      <c r="F139" s="2"/>
      <c r="G139" s="2"/>
      <c r="H139" s="4">
        <f>IFERROR(GetRTD(Rtd_Server,P139,StrField,TRIM(F139),TRIM(G139)),0)</f>
        <v>0</v>
      </c>
      <c r="I139" s="4">
        <f>IFERROR(GetRTD(Rtd_Server,P139,StrFieldATP,TRIM(F139),TRIM(G139)),0)</f>
        <v>0</v>
      </c>
      <c r="J139" s="20">
        <f>IFERROR(GetRTD(Rtd_Server,P139,StrFieldVol,TRIM(F139),TRIM(G139)),0)</f>
        <v>0</v>
      </c>
      <c r="K139" s="20">
        <f>IFERROR(GetRTD(Rtd_Server,P139,StrFieldOI,TRIM(F139),TRIM(G139)),0)</f>
        <v>0</v>
      </c>
      <c r="O139" s="4" t="str">
        <f t="shared" si="15"/>
        <v/>
      </c>
      <c r="P139" s="4" t="str">
        <f t="shared" si="13"/>
        <v/>
      </c>
      <c r="Q139" s="16" t="b">
        <f t="shared" si="14"/>
        <v>0</v>
      </c>
      <c r="R139" s="17">
        <f t="shared" si="16"/>
        <v>0</v>
      </c>
    </row>
    <row r="140" spans="5:18" ht="14.25" customHeight="1">
      <c r="E140" s="14" t="s">
        <v>80</v>
      </c>
      <c r="F140" s="2"/>
      <c r="G140" s="2"/>
      <c r="H140" s="4">
        <f>IFERROR(GetRTD(Rtd_Server,P140,StrField,TRIM(F140),TRIM(G140)),0)</f>
        <v>0</v>
      </c>
      <c r="I140" s="4">
        <f>IFERROR(GetRTD(Rtd_Server,P140,StrFieldATP,TRIM(F140),TRIM(G140)),0)</f>
        <v>0</v>
      </c>
      <c r="J140" s="20">
        <f>IFERROR(GetRTD(Rtd_Server,P140,StrFieldVol,TRIM(F140),TRIM(G140)),0)</f>
        <v>0</v>
      </c>
      <c r="K140" s="20">
        <f>IFERROR(GetRTD(Rtd_Server,P140,StrFieldOI,TRIM(F140),TRIM(G140)),0)</f>
        <v>0</v>
      </c>
      <c r="O140" s="4" t="str">
        <f t="shared" si="15"/>
        <v/>
      </c>
      <c r="P140" s="4" t="str">
        <f t="shared" si="13"/>
        <v/>
      </c>
      <c r="Q140" s="16" t="b">
        <f t="shared" si="14"/>
        <v>0</v>
      </c>
      <c r="R140" s="17">
        <f t="shared" si="16"/>
        <v>0</v>
      </c>
    </row>
    <row r="141" spans="5:18" ht="14.25" customHeight="1">
      <c r="E141" s="14" t="s">
        <v>80</v>
      </c>
      <c r="F141" s="2"/>
      <c r="G141" s="2"/>
      <c r="H141" s="4">
        <f>IFERROR(GetRTD(Rtd_Server,P141,StrField,TRIM(F141),TRIM(G141)),0)</f>
        <v>0</v>
      </c>
      <c r="I141" s="4">
        <f>IFERROR(GetRTD(Rtd_Server,P141,StrFieldATP,TRIM(F141),TRIM(G141)),0)</f>
        <v>0</v>
      </c>
      <c r="J141" s="20">
        <f>IFERROR(GetRTD(Rtd_Server,P141,StrFieldVol,TRIM(F141),TRIM(G141)),0)</f>
        <v>0</v>
      </c>
      <c r="K141" s="20">
        <f>IFERROR(GetRTD(Rtd_Server,P141,StrFieldOI,TRIM(F141),TRIM(G141)),0)</f>
        <v>0</v>
      </c>
      <c r="O141" s="4" t="str">
        <f t="shared" si="15"/>
        <v/>
      </c>
      <c r="P141" s="4" t="str">
        <f t="shared" si="13"/>
        <v/>
      </c>
      <c r="Q141" s="16" t="b">
        <f t="shared" si="14"/>
        <v>0</v>
      </c>
      <c r="R141" s="17">
        <f t="shared" si="16"/>
        <v>0</v>
      </c>
    </row>
    <row r="142" spans="5:18" ht="14.25" customHeight="1">
      <c r="E142" s="14" t="s">
        <v>80</v>
      </c>
      <c r="F142" s="2"/>
      <c r="G142" s="2"/>
      <c r="H142" s="4">
        <f>IFERROR(GetRTD(Rtd_Server,P142,StrField,TRIM(F142),TRIM(G142)),0)</f>
        <v>0</v>
      </c>
      <c r="I142" s="4">
        <f>IFERROR(GetRTD(Rtd_Server,P142,StrFieldATP,TRIM(F142),TRIM(G142)),0)</f>
        <v>0</v>
      </c>
      <c r="J142" s="20">
        <f>IFERROR(GetRTD(Rtd_Server,P142,StrFieldVol,TRIM(F142),TRIM(G142)),0)</f>
        <v>0</v>
      </c>
      <c r="K142" s="20">
        <f>IFERROR(GetRTD(Rtd_Server,P142,StrFieldOI,TRIM(F142),TRIM(G142)),0)</f>
        <v>0</v>
      </c>
      <c r="O142" s="4" t="str">
        <f t="shared" si="15"/>
        <v/>
      </c>
      <c r="P142" s="4" t="str">
        <f t="shared" si="13"/>
        <v/>
      </c>
      <c r="Q142" s="16" t="b">
        <f t="shared" si="14"/>
        <v>0</v>
      </c>
      <c r="R142" s="17">
        <f t="shared" si="16"/>
        <v>0</v>
      </c>
    </row>
    <row r="143" spans="5:18" ht="14.25" customHeight="1">
      <c r="E143" s="14" t="s">
        <v>80</v>
      </c>
      <c r="F143" s="2"/>
      <c r="G143" s="2"/>
      <c r="H143" s="4">
        <f>IFERROR(GetRTD(Rtd_Server,P143,StrField,TRIM(F143),TRIM(G143)),0)</f>
        <v>0</v>
      </c>
      <c r="I143" s="4">
        <f>IFERROR(GetRTD(Rtd_Server,P143,StrFieldATP,TRIM(F143),TRIM(G143)),0)</f>
        <v>0</v>
      </c>
      <c r="J143" s="20">
        <f>IFERROR(GetRTD(Rtd_Server,P143,StrFieldVol,TRIM(F143),TRIM(G143)),0)</f>
        <v>0</v>
      </c>
      <c r="K143" s="20">
        <f>IFERROR(GetRTD(Rtd_Server,P143,StrFieldOI,TRIM(F143),TRIM(G143)),0)</f>
        <v>0</v>
      </c>
      <c r="O143" s="4" t="str">
        <f t="shared" si="15"/>
        <v/>
      </c>
      <c r="P143" s="4" t="str">
        <f t="shared" si="13"/>
        <v/>
      </c>
      <c r="Q143" s="16" t="b">
        <f t="shared" si="14"/>
        <v>0</v>
      </c>
      <c r="R143" s="17">
        <f t="shared" si="16"/>
        <v>0</v>
      </c>
    </row>
    <row r="144" spans="5:18" ht="14.25" customHeight="1">
      <c r="E144" s="14" t="s">
        <v>80</v>
      </c>
      <c r="F144" s="2"/>
      <c r="G144" s="2"/>
      <c r="H144" s="4">
        <f>IFERROR(GetRTD(Rtd_Server,P144,StrField,TRIM(F144),TRIM(G144)),0)</f>
        <v>0</v>
      </c>
      <c r="I144" s="4">
        <f>IFERROR(GetRTD(Rtd_Server,P144,StrFieldATP,TRIM(F144),TRIM(G144)),0)</f>
        <v>0</v>
      </c>
      <c r="J144" s="20">
        <f>IFERROR(GetRTD(Rtd_Server,P144,StrFieldVol,TRIM(F144),TRIM(G144)),0)</f>
        <v>0</v>
      </c>
      <c r="K144" s="20">
        <f>IFERROR(GetRTD(Rtd_Server,P144,StrFieldOI,TRIM(F144),TRIM(G144)),0)</f>
        <v>0</v>
      </c>
      <c r="O144" s="4" t="str">
        <f t="shared" si="15"/>
        <v/>
      </c>
      <c r="P144" s="4" t="str">
        <f t="shared" si="13"/>
        <v/>
      </c>
      <c r="Q144" s="16" t="b">
        <f t="shared" si="14"/>
        <v>0</v>
      </c>
      <c r="R144" s="17">
        <f t="shared" si="16"/>
        <v>0</v>
      </c>
    </row>
    <row r="145" spans="5:18" ht="14.25" customHeight="1">
      <c r="E145" s="14" t="s">
        <v>80</v>
      </c>
      <c r="F145" s="2"/>
      <c r="G145" s="2"/>
      <c r="H145" s="4">
        <f>IFERROR(GetRTD(Rtd_Server,P145,StrField,TRIM(F145),TRIM(G145)),0)</f>
        <v>0</v>
      </c>
      <c r="I145" s="4">
        <f>IFERROR(GetRTD(Rtd_Server,P145,StrFieldATP,TRIM(F145),TRIM(G145)),0)</f>
        <v>0</v>
      </c>
      <c r="J145" s="20">
        <f>IFERROR(GetRTD(Rtd_Server,P145,StrFieldVol,TRIM(F145),TRIM(G145)),0)</f>
        <v>0</v>
      </c>
      <c r="K145" s="20">
        <f>IFERROR(GetRTD(Rtd_Server,P145,StrFieldOI,TRIM(F145),TRIM(G145)),0)</f>
        <v>0</v>
      </c>
      <c r="O145" s="4" t="str">
        <f t="shared" si="15"/>
        <v/>
      </c>
      <c r="P145" s="4" t="str">
        <f t="shared" si="13"/>
        <v/>
      </c>
      <c r="Q145" s="16" t="b">
        <f t="shared" si="14"/>
        <v>0</v>
      </c>
      <c r="R145" s="17">
        <f t="shared" si="16"/>
        <v>0</v>
      </c>
    </row>
    <row r="146" spans="5:18" ht="14.25" customHeight="1">
      <c r="E146" s="14" t="s">
        <v>80</v>
      </c>
      <c r="F146" s="2"/>
      <c r="G146" s="2"/>
      <c r="H146" s="4">
        <f>IFERROR(GetRTD(Rtd_Server,P146,StrField,TRIM(F146),TRIM(G146)),0)</f>
        <v>0</v>
      </c>
      <c r="I146" s="4">
        <f>IFERROR(GetRTD(Rtd_Server,P146,StrFieldATP,TRIM(F146),TRIM(G146)),0)</f>
        <v>0</v>
      </c>
      <c r="J146" s="20">
        <f>IFERROR(GetRTD(Rtd_Server,P146,StrFieldVol,TRIM(F146),TRIM(G146)),0)</f>
        <v>0</v>
      </c>
      <c r="K146" s="20">
        <f>IFERROR(GetRTD(Rtd_Server,P146,StrFieldOI,TRIM(F146),TRIM(G146)),0)</f>
        <v>0</v>
      </c>
      <c r="O146" s="4" t="str">
        <f t="shared" si="15"/>
        <v/>
      </c>
      <c r="P146" s="4" t="str">
        <f t="shared" si="13"/>
        <v/>
      </c>
      <c r="Q146" s="16" t="b">
        <f t="shared" si="14"/>
        <v>0</v>
      </c>
      <c r="R146" s="17">
        <f t="shared" si="16"/>
        <v>0</v>
      </c>
    </row>
    <row r="147" spans="5:18" ht="14.25" customHeight="1">
      <c r="E147" s="14" t="s">
        <v>80</v>
      </c>
      <c r="F147" s="2"/>
      <c r="G147" s="2"/>
      <c r="H147" s="4">
        <f>IFERROR(GetRTD(Rtd_Server,P147,StrField,TRIM(F147),TRIM(G147)),0)</f>
        <v>0</v>
      </c>
      <c r="I147" s="4">
        <f>IFERROR(GetRTD(Rtd_Server,P147,StrFieldATP,TRIM(F147),TRIM(G147)),0)</f>
        <v>0</v>
      </c>
      <c r="J147" s="20">
        <f>IFERROR(GetRTD(Rtd_Server,P147,StrFieldVol,TRIM(F147),TRIM(G147)),0)</f>
        <v>0</v>
      </c>
      <c r="K147" s="20">
        <f>IFERROR(GetRTD(Rtd_Server,P147,StrFieldOI,TRIM(F147),TRIM(G147)),0)</f>
        <v>0</v>
      </c>
      <c r="O147" s="4" t="str">
        <f t="shared" si="15"/>
        <v/>
      </c>
      <c r="P147" s="4" t="str">
        <f t="shared" si="13"/>
        <v/>
      </c>
      <c r="Q147" s="16" t="b">
        <f t="shared" si="14"/>
        <v>0</v>
      </c>
      <c r="R147" s="17">
        <f t="shared" si="16"/>
        <v>0</v>
      </c>
    </row>
    <row r="148" spans="5:18" ht="14.25" customHeight="1">
      <c r="E148" s="14" t="s">
        <v>80</v>
      </c>
      <c r="F148" s="2"/>
      <c r="G148" s="2"/>
      <c r="H148" s="4">
        <f>IFERROR(GetRTD(Rtd_Server,P148,StrField,TRIM(F148),TRIM(G148)),0)</f>
        <v>0</v>
      </c>
      <c r="I148" s="4">
        <f>IFERROR(GetRTD(Rtd_Server,P148,StrFieldATP,TRIM(F148),TRIM(G148)),0)</f>
        <v>0</v>
      </c>
      <c r="J148" s="20">
        <f>IFERROR(GetRTD(Rtd_Server,P148,StrFieldVol,TRIM(F148),TRIM(G148)),0)</f>
        <v>0</v>
      </c>
      <c r="K148" s="20">
        <f>IFERROR(GetRTD(Rtd_Server,P148,StrFieldOI,TRIM(F148),TRIM(G148)),0)</f>
        <v>0</v>
      </c>
      <c r="O148" s="4" t="str">
        <f t="shared" si="15"/>
        <v/>
      </c>
      <c r="P148" s="4" t="str">
        <f t="shared" si="13"/>
        <v/>
      </c>
      <c r="Q148" s="16" t="b">
        <f t="shared" si="14"/>
        <v>0</v>
      </c>
      <c r="R148" s="17">
        <f t="shared" si="16"/>
        <v>0</v>
      </c>
    </row>
    <row r="149" spans="5:18" ht="14.25" customHeight="1">
      <c r="E149" s="14" t="s">
        <v>80</v>
      </c>
      <c r="F149" s="2"/>
      <c r="G149" s="2"/>
      <c r="H149" s="4">
        <f>IFERROR(GetRTD(Rtd_Server,P149,StrField,TRIM(F149),TRIM(G149)),0)</f>
        <v>0</v>
      </c>
      <c r="I149" s="4">
        <f>IFERROR(GetRTD(Rtd_Server,P149,StrFieldATP,TRIM(F149),TRIM(G149)),0)</f>
        <v>0</v>
      </c>
      <c r="J149" s="20">
        <f>IFERROR(GetRTD(Rtd_Server,P149,StrFieldVol,TRIM(F149),TRIM(G149)),0)</f>
        <v>0</v>
      </c>
      <c r="K149" s="20">
        <f>IFERROR(GetRTD(Rtd_Server,P149,StrFieldOI,TRIM(F149),TRIM(G149)),0)</f>
        <v>0</v>
      </c>
      <c r="O149" s="4" t="str">
        <f t="shared" si="15"/>
        <v/>
      </c>
      <c r="P149" s="4" t="str">
        <f t="shared" si="13"/>
        <v/>
      </c>
      <c r="Q149" s="16" t="b">
        <f t="shared" si="14"/>
        <v>0</v>
      </c>
      <c r="R149" s="17">
        <f t="shared" si="16"/>
        <v>0</v>
      </c>
    </row>
    <row r="150" spans="5:18" ht="14.25" customHeight="1">
      <c r="E150" s="14" t="s">
        <v>80</v>
      </c>
      <c r="F150" s="2"/>
      <c r="G150" s="2"/>
      <c r="H150" s="4">
        <f>IFERROR(GetRTD(Rtd_Server,P150,StrField,TRIM(F150),TRIM(G150)),0)</f>
        <v>0</v>
      </c>
      <c r="I150" s="4">
        <f>IFERROR(GetRTD(Rtd_Server,P150,StrFieldATP,TRIM(F150),TRIM(G150)),0)</f>
        <v>0</v>
      </c>
      <c r="J150" s="20">
        <f>IFERROR(GetRTD(Rtd_Server,P150,StrFieldVol,TRIM(F150),TRIM(G150)),0)</f>
        <v>0</v>
      </c>
      <c r="K150" s="20">
        <f>IFERROR(GetRTD(Rtd_Server,P150,StrFieldOI,TRIM(F150),TRIM(G150)),0)</f>
        <v>0</v>
      </c>
      <c r="O150" s="4" t="str">
        <f t="shared" si="15"/>
        <v/>
      </c>
      <c r="P150" s="4" t="str">
        <f t="shared" si="13"/>
        <v/>
      </c>
      <c r="Q150" s="16" t="b">
        <f t="shared" si="14"/>
        <v>0</v>
      </c>
      <c r="R150" s="17">
        <f t="shared" si="16"/>
        <v>0</v>
      </c>
    </row>
    <row r="151" spans="5:18" ht="14.25" customHeight="1">
      <c r="E151" s="14" t="s">
        <v>80</v>
      </c>
      <c r="F151" s="2"/>
      <c r="G151" s="2"/>
      <c r="H151" s="4">
        <f>IFERROR(GetRTD(Rtd_Server,P151,StrField,TRIM(F151),TRIM(G151)),0)</f>
        <v>0</v>
      </c>
      <c r="I151" s="4">
        <f>IFERROR(GetRTD(Rtd_Server,P151,StrFieldATP,TRIM(F151),TRIM(G151)),0)</f>
        <v>0</v>
      </c>
      <c r="J151" s="20">
        <f>IFERROR(GetRTD(Rtd_Server,P151,StrFieldVol,TRIM(F151),TRIM(G151)),0)</f>
        <v>0</v>
      </c>
      <c r="K151" s="20">
        <f>IFERROR(GetRTD(Rtd_Server,P151,StrFieldOI,TRIM(F151),TRIM(G151)),0)</f>
        <v>0</v>
      </c>
      <c r="O151" s="4" t="str">
        <f t="shared" si="15"/>
        <v/>
      </c>
      <c r="P151" s="4" t="str">
        <f t="shared" si="13"/>
        <v/>
      </c>
      <c r="Q151" s="16" t="b">
        <f t="shared" si="14"/>
        <v>0</v>
      </c>
      <c r="R151" s="17">
        <f t="shared" si="16"/>
        <v>0</v>
      </c>
    </row>
    <row r="152" spans="5:18" ht="14.25" customHeight="1">
      <c r="E152" s="14" t="s">
        <v>80</v>
      </c>
      <c r="F152" s="2"/>
      <c r="G152" s="2"/>
      <c r="H152" s="4">
        <f>IFERROR(GetRTD(Rtd_Server,P152,StrField,TRIM(F152),TRIM(G152)),0)</f>
        <v>0</v>
      </c>
      <c r="I152" s="4">
        <f>IFERROR(GetRTD(Rtd_Server,P152,StrFieldATP,TRIM(F152),TRIM(G152)),0)</f>
        <v>0</v>
      </c>
      <c r="J152" s="20">
        <f>IFERROR(GetRTD(Rtd_Server,P152,StrFieldVol,TRIM(F152),TRIM(G152)),0)</f>
        <v>0</v>
      </c>
      <c r="K152" s="20">
        <f>IFERROR(GetRTD(Rtd_Server,P152,StrFieldOI,TRIM(F152),TRIM(G152)),0)</f>
        <v>0</v>
      </c>
      <c r="O152" s="4" t="str">
        <f t="shared" si="15"/>
        <v/>
      </c>
      <c r="P152" s="4" t="str">
        <f t="shared" si="13"/>
        <v/>
      </c>
      <c r="Q152" s="16" t="b">
        <f t="shared" si="14"/>
        <v>0</v>
      </c>
      <c r="R152" s="17">
        <f t="shared" si="16"/>
        <v>0</v>
      </c>
    </row>
    <row r="153" spans="5:18" ht="14.25" customHeight="1">
      <c r="E153" s="14" t="s">
        <v>80</v>
      </c>
      <c r="F153" s="2"/>
      <c r="G153" s="2"/>
      <c r="H153" s="4">
        <f>IFERROR(GetRTD(Rtd_Server,P153,StrField,TRIM(F153),TRIM(G153)),0)</f>
        <v>0</v>
      </c>
      <c r="I153" s="4">
        <f>IFERROR(GetRTD(Rtd_Server,P153,StrFieldATP,TRIM(F153),TRIM(G153)),0)</f>
        <v>0</v>
      </c>
      <c r="J153" s="20">
        <f>IFERROR(GetRTD(Rtd_Server,P153,StrFieldVol,TRIM(F153),TRIM(G153)),0)</f>
        <v>0</v>
      </c>
      <c r="K153" s="20">
        <f>IFERROR(GetRTD(Rtd_Server,P153,StrFieldOI,TRIM(F153),TRIM(G153)),0)</f>
        <v>0</v>
      </c>
      <c r="O153" s="4" t="str">
        <f t="shared" si="15"/>
        <v/>
      </c>
      <c r="P153" s="4" t="str">
        <f t="shared" si="13"/>
        <v/>
      </c>
      <c r="Q153" s="16" t="b">
        <f t="shared" si="14"/>
        <v>0</v>
      </c>
      <c r="R153" s="17">
        <f t="shared" si="16"/>
        <v>0</v>
      </c>
    </row>
    <row r="154" spans="5:18" ht="14.25" customHeight="1">
      <c r="E154" s="14" t="s">
        <v>80</v>
      </c>
      <c r="F154" s="2"/>
      <c r="G154" s="2"/>
      <c r="H154" s="4">
        <f>IFERROR(GetRTD(Rtd_Server,P154,StrField,TRIM(F154),TRIM(G154)),0)</f>
        <v>0</v>
      </c>
      <c r="I154" s="4">
        <f>IFERROR(GetRTD(Rtd_Server,P154,StrFieldATP,TRIM(F154),TRIM(G154)),0)</f>
        <v>0</v>
      </c>
      <c r="J154" s="20">
        <f>IFERROR(GetRTD(Rtd_Server,P154,StrFieldVol,TRIM(F154),TRIM(G154)),0)</f>
        <v>0</v>
      </c>
      <c r="K154" s="20">
        <f>IFERROR(GetRTD(Rtd_Server,P154,StrFieldOI,TRIM(F154),TRIM(G154)),0)</f>
        <v>0</v>
      </c>
      <c r="O154" s="4" t="str">
        <f t="shared" si="15"/>
        <v/>
      </c>
      <c r="P154" s="4" t="str">
        <f t="shared" si="13"/>
        <v/>
      </c>
      <c r="Q154" s="16" t="b">
        <f t="shared" si="14"/>
        <v>0</v>
      </c>
      <c r="R154" s="17">
        <f t="shared" si="16"/>
        <v>0</v>
      </c>
    </row>
    <row r="155" spans="5:18" ht="14.25" customHeight="1">
      <c r="E155" s="14" t="s">
        <v>80</v>
      </c>
      <c r="F155" s="2"/>
      <c r="G155" s="2"/>
      <c r="H155" s="4">
        <f>IFERROR(GetRTD(Rtd_Server,P155,StrField,TRIM(F155),TRIM(G155)),0)</f>
        <v>0</v>
      </c>
      <c r="I155" s="4">
        <f>IFERROR(GetRTD(Rtd_Server,P155,StrFieldATP,TRIM(F155),TRIM(G155)),0)</f>
        <v>0</v>
      </c>
      <c r="J155" s="20">
        <f>IFERROR(GetRTD(Rtd_Server,P155,StrFieldVol,TRIM(F155),TRIM(G155)),0)</f>
        <v>0</v>
      </c>
      <c r="K155" s="20">
        <f>IFERROR(GetRTD(Rtd_Server,P155,StrFieldOI,TRIM(F155),TRIM(G155)),0)</f>
        <v>0</v>
      </c>
      <c r="O155" s="4" t="str">
        <f t="shared" si="15"/>
        <v/>
      </c>
      <c r="P155" s="4" t="str">
        <f t="shared" si="13"/>
        <v/>
      </c>
      <c r="Q155" s="16" t="b">
        <f t="shared" si="14"/>
        <v>0</v>
      </c>
      <c r="R155" s="17">
        <f t="shared" si="16"/>
        <v>0</v>
      </c>
    </row>
    <row r="156" spans="5:18" ht="14.25" customHeight="1">
      <c r="E156" s="14" t="s">
        <v>80</v>
      </c>
      <c r="F156" s="2"/>
      <c r="G156" s="2"/>
      <c r="H156" s="4">
        <f>IFERROR(GetRTD(Rtd_Server,P156,StrField,TRIM(F156),TRIM(G156)),0)</f>
        <v>0</v>
      </c>
      <c r="I156" s="4">
        <f>IFERROR(GetRTD(Rtd_Server,P156,StrFieldATP,TRIM(F156),TRIM(G156)),0)</f>
        <v>0</v>
      </c>
      <c r="J156" s="20">
        <f>IFERROR(GetRTD(Rtd_Server,P156,StrFieldVol,TRIM(F156),TRIM(G156)),0)</f>
        <v>0</v>
      </c>
      <c r="K156" s="20">
        <f>IFERROR(GetRTD(Rtd_Server,P156,StrFieldOI,TRIM(F156),TRIM(G156)),0)</f>
        <v>0</v>
      </c>
      <c r="O156" s="4" t="str">
        <f t="shared" si="15"/>
        <v/>
      </c>
      <c r="P156" s="4" t="str">
        <f t="shared" si="13"/>
        <v/>
      </c>
      <c r="Q156" s="16" t="b">
        <f t="shared" si="14"/>
        <v>0</v>
      </c>
      <c r="R156" s="17">
        <f t="shared" si="16"/>
        <v>0</v>
      </c>
    </row>
    <row r="157" spans="5:18" ht="14.25" customHeight="1">
      <c r="E157" s="14" t="s">
        <v>80</v>
      </c>
      <c r="F157" s="2"/>
      <c r="G157" s="2"/>
      <c r="H157" s="4">
        <f>IFERROR(GetRTD(Rtd_Server,P157,StrField,TRIM(F157),TRIM(G157)),0)</f>
        <v>0</v>
      </c>
      <c r="I157" s="4">
        <f>IFERROR(GetRTD(Rtd_Server,P157,StrFieldATP,TRIM(F157),TRIM(G157)),0)</f>
        <v>0</v>
      </c>
      <c r="J157" s="20">
        <f>IFERROR(GetRTD(Rtd_Server,P157,StrFieldVol,TRIM(F157),TRIM(G157)),0)</f>
        <v>0</v>
      </c>
      <c r="K157" s="20">
        <f>IFERROR(GetRTD(Rtd_Server,P157,StrFieldOI,TRIM(F157),TRIM(G157)),0)</f>
        <v>0</v>
      </c>
      <c r="O157" s="4" t="str">
        <f t="shared" si="15"/>
        <v/>
      </c>
      <c r="P157" s="4" t="str">
        <f t="shared" si="13"/>
        <v/>
      </c>
      <c r="Q157" s="16" t="b">
        <f t="shared" si="14"/>
        <v>0</v>
      </c>
      <c r="R157" s="17">
        <f t="shared" si="16"/>
        <v>0</v>
      </c>
    </row>
    <row r="158" spans="5:18" ht="14.25" customHeight="1">
      <c r="E158" s="14" t="s">
        <v>80</v>
      </c>
      <c r="F158" s="2"/>
      <c r="G158" s="2"/>
      <c r="H158" s="4">
        <f>IFERROR(GetRTD(Rtd_Server,P158,StrField,TRIM(F158),TRIM(G158)),0)</f>
        <v>0</v>
      </c>
      <c r="I158" s="4">
        <f>IFERROR(GetRTD(Rtd_Server,P158,StrFieldATP,TRIM(F158),TRIM(G158)),0)</f>
        <v>0</v>
      </c>
      <c r="J158" s="20">
        <f>IFERROR(GetRTD(Rtd_Server,P158,StrFieldVol,TRIM(F158),TRIM(G158)),0)</f>
        <v>0</v>
      </c>
      <c r="K158" s="20">
        <f>IFERROR(GetRTD(Rtd_Server,P158,StrFieldOI,TRIM(F158),TRIM(G158)),0)</f>
        <v>0</v>
      </c>
      <c r="O158" s="4" t="str">
        <f t="shared" si="15"/>
        <v/>
      </c>
      <c r="P158" s="4" t="str">
        <f t="shared" si="13"/>
        <v/>
      </c>
      <c r="Q158" s="16" t="b">
        <f t="shared" si="14"/>
        <v>0</v>
      </c>
      <c r="R158" s="17">
        <f t="shared" si="16"/>
        <v>0</v>
      </c>
    </row>
    <row r="159" spans="5:18" ht="14.25" customHeight="1">
      <c r="E159" s="14" t="s">
        <v>80</v>
      </c>
      <c r="F159" s="2"/>
      <c r="G159" s="2"/>
      <c r="H159" s="4">
        <f>IFERROR(GetRTD(Rtd_Server,P159,StrField,TRIM(F159),TRIM(G159)),0)</f>
        <v>0</v>
      </c>
      <c r="I159" s="4">
        <f>IFERROR(GetRTD(Rtd_Server,P159,StrFieldATP,TRIM(F159),TRIM(G159)),0)</f>
        <v>0</v>
      </c>
      <c r="J159" s="20">
        <f>IFERROR(GetRTD(Rtd_Server,P159,StrFieldVol,TRIM(F159),TRIM(G159)),0)</f>
        <v>0</v>
      </c>
      <c r="K159" s="20">
        <f>IFERROR(GetRTD(Rtd_Server,P159,StrFieldOI,TRIM(F159),TRIM(G159)),0)</f>
        <v>0</v>
      </c>
      <c r="O159" s="4" t="str">
        <f t="shared" si="15"/>
        <v/>
      </c>
      <c r="P159" s="4" t="str">
        <f t="shared" si="13"/>
        <v/>
      </c>
      <c r="Q159" s="16" t="b">
        <f t="shared" si="14"/>
        <v>0</v>
      </c>
      <c r="R159" s="17">
        <f t="shared" si="16"/>
        <v>0</v>
      </c>
    </row>
    <row r="160" spans="5:18" ht="14.25" customHeight="1">
      <c r="E160" s="14" t="s">
        <v>80</v>
      </c>
      <c r="F160" s="2"/>
      <c r="G160" s="2"/>
      <c r="H160" s="4">
        <f>IFERROR(GetRTD(Rtd_Server,P160,StrField,TRIM(F160),TRIM(G160)),0)</f>
        <v>0</v>
      </c>
      <c r="I160" s="4">
        <f>IFERROR(GetRTD(Rtd_Server,P160,StrFieldATP,TRIM(F160),TRIM(G160)),0)</f>
        <v>0</v>
      </c>
      <c r="J160" s="20">
        <f>IFERROR(GetRTD(Rtd_Server,P160,StrFieldVol,TRIM(F160),TRIM(G160)),0)</f>
        <v>0</v>
      </c>
      <c r="K160" s="20">
        <f>IFERROR(GetRTD(Rtd_Server,P160,StrFieldOI,TRIM(F160),TRIM(G160)),0)</f>
        <v>0</v>
      </c>
      <c r="O160" s="4" t="str">
        <f t="shared" si="15"/>
        <v/>
      </c>
      <c r="P160" s="4" t="str">
        <f t="shared" si="13"/>
        <v/>
      </c>
      <c r="Q160" s="16" t="b">
        <f t="shared" si="14"/>
        <v>0</v>
      </c>
      <c r="R160" s="17">
        <f t="shared" si="16"/>
        <v>0</v>
      </c>
    </row>
    <row r="161" spans="5:18" ht="14.25" customHeight="1">
      <c r="E161" s="14" t="s">
        <v>80</v>
      </c>
      <c r="F161" s="2"/>
      <c r="G161" s="2"/>
      <c r="H161" s="4">
        <f>IFERROR(GetRTD(Rtd_Server,P161,StrField,TRIM(F161),TRIM(G161)),0)</f>
        <v>0</v>
      </c>
      <c r="I161" s="4">
        <f>IFERROR(GetRTD(Rtd_Server,P161,StrFieldATP,TRIM(F161),TRIM(G161)),0)</f>
        <v>0</v>
      </c>
      <c r="J161" s="20">
        <f>IFERROR(GetRTD(Rtd_Server,P161,StrFieldVol,TRIM(F161),TRIM(G161)),0)</f>
        <v>0</v>
      </c>
      <c r="K161" s="20">
        <f>IFERROR(GetRTD(Rtd_Server,P161,StrFieldOI,TRIM(F161),TRIM(G161)),0)</f>
        <v>0</v>
      </c>
      <c r="O161" s="4" t="str">
        <f t="shared" si="15"/>
        <v/>
      </c>
      <c r="P161" s="4" t="str">
        <f t="shared" si="13"/>
        <v/>
      </c>
      <c r="Q161" s="16" t="b">
        <f t="shared" si="14"/>
        <v>0</v>
      </c>
      <c r="R161" s="17">
        <f t="shared" si="16"/>
        <v>0</v>
      </c>
    </row>
    <row r="162" spans="5:18" ht="14.25" customHeight="1">
      <c r="E162" s="14" t="s">
        <v>80</v>
      </c>
      <c r="F162" s="2"/>
      <c r="G162" s="2"/>
      <c r="H162" s="4">
        <f>IFERROR(GetRTD(Rtd_Server,P162,StrField,TRIM(F162),TRIM(G162)),0)</f>
        <v>0</v>
      </c>
      <c r="I162" s="4">
        <f>IFERROR(GetRTD(Rtd_Server,P162,StrFieldATP,TRIM(F162),TRIM(G162)),0)</f>
        <v>0</v>
      </c>
      <c r="J162" s="20">
        <f>IFERROR(GetRTD(Rtd_Server,P162,StrFieldVol,TRIM(F162),TRIM(G162)),0)</f>
        <v>0</v>
      </c>
      <c r="K162" s="20">
        <f>IFERROR(GetRTD(Rtd_Server,P162,StrFieldOI,TRIM(F162),TRIM(G162)),0)</f>
        <v>0</v>
      </c>
      <c r="O162" s="4" t="str">
        <f t="shared" si="15"/>
        <v/>
      </c>
      <c r="P162" s="4" t="str">
        <f t="shared" ref="P162:P193" si="17">IF(OR(F162="",G162=""),"",O162&amp;Seperator&amp;UPPER(G162))</f>
        <v/>
      </c>
      <c r="Q162" s="16" t="b">
        <f t="shared" ref="Q162:Q193" si="18">LogValue(G162, Field, H162, I162, J162, K162)</f>
        <v>0</v>
      </c>
      <c r="R162" s="17">
        <f t="shared" si="16"/>
        <v>0</v>
      </c>
    </row>
    <row r="163" spans="5:18" ht="14.25" customHeight="1">
      <c r="E163" s="14" t="s">
        <v>80</v>
      </c>
      <c r="F163" s="2"/>
      <c r="G163" s="2"/>
      <c r="H163" s="4">
        <f>IFERROR(GetRTD(Rtd_Server,P163,StrField,TRIM(F163),TRIM(G163)),0)</f>
        <v>0</v>
      </c>
      <c r="I163" s="4">
        <f>IFERROR(GetRTD(Rtd_Server,P163,StrFieldATP,TRIM(F163),TRIM(G163)),0)</f>
        <v>0</v>
      </c>
      <c r="J163" s="20">
        <f>IFERROR(GetRTD(Rtd_Server,P163,StrFieldVol,TRIM(F163),TRIM(G163)),0)</f>
        <v>0</v>
      </c>
      <c r="K163" s="20">
        <f>IFERROR(GetRTD(Rtd_Server,P163,StrFieldOI,TRIM(F163),TRIM(G163)),0)</f>
        <v>0</v>
      </c>
      <c r="O163" s="4" t="str">
        <f t="shared" si="15"/>
        <v/>
      </c>
      <c r="P163" s="4" t="str">
        <f t="shared" si="17"/>
        <v/>
      </c>
      <c r="Q163" s="16" t="b">
        <f t="shared" si="18"/>
        <v>0</v>
      </c>
      <c r="R163" s="17">
        <f t="shared" si="16"/>
        <v>0</v>
      </c>
    </row>
    <row r="164" spans="5:18" ht="14.25" customHeight="1">
      <c r="E164" s="14" t="s">
        <v>80</v>
      </c>
      <c r="F164" s="2"/>
      <c r="G164" s="2"/>
      <c r="H164" s="4">
        <f>IFERROR(GetRTD(Rtd_Server,P164,StrField,TRIM(F164),TRIM(G164)),0)</f>
        <v>0</v>
      </c>
      <c r="I164" s="4">
        <f>IFERROR(GetRTD(Rtd_Server,P164,StrFieldATP,TRIM(F164),TRIM(G164)),0)</f>
        <v>0</v>
      </c>
      <c r="J164" s="20">
        <f>IFERROR(GetRTD(Rtd_Server,P164,StrFieldVol,TRIM(F164),TRIM(G164)),0)</f>
        <v>0</v>
      </c>
      <c r="K164" s="20">
        <f>IFERROR(GetRTD(Rtd_Server,P164,StrFieldOI,TRIM(F164),TRIM(G164)),0)</f>
        <v>0</v>
      </c>
      <c r="O164" s="4" t="str">
        <f t="shared" si="15"/>
        <v/>
      </c>
      <c r="P164" s="4" t="str">
        <f t="shared" si="17"/>
        <v/>
      </c>
      <c r="Q164" s="16" t="b">
        <f t="shared" si="18"/>
        <v>0</v>
      </c>
      <c r="R164" s="17">
        <f t="shared" si="16"/>
        <v>0</v>
      </c>
    </row>
    <row r="165" spans="5:18" ht="14.25" customHeight="1">
      <c r="E165" s="14" t="s">
        <v>80</v>
      </c>
      <c r="F165" s="2"/>
      <c r="G165" s="2"/>
      <c r="H165" s="4">
        <f>IFERROR(GetRTD(Rtd_Server,P165,StrField,TRIM(F165),TRIM(G165)),0)</f>
        <v>0</v>
      </c>
      <c r="I165" s="4">
        <f>IFERROR(GetRTD(Rtd_Server,P165,StrFieldATP,TRIM(F165),TRIM(G165)),0)</f>
        <v>0</v>
      </c>
      <c r="J165" s="20">
        <f>IFERROR(GetRTD(Rtd_Server,P165,StrFieldVol,TRIM(F165),TRIM(G165)),0)</f>
        <v>0</v>
      </c>
      <c r="K165" s="20">
        <f>IFERROR(GetRTD(Rtd_Server,P165,StrFieldOI,TRIM(F165),TRIM(G165)),0)</f>
        <v>0</v>
      </c>
      <c r="O165" s="4" t="str">
        <f t="shared" si="15"/>
        <v/>
      </c>
      <c r="P165" s="4" t="str">
        <f t="shared" si="17"/>
        <v/>
      </c>
      <c r="Q165" s="16" t="b">
        <f t="shared" si="18"/>
        <v>0</v>
      </c>
      <c r="R165" s="17">
        <f t="shared" si="16"/>
        <v>0</v>
      </c>
    </row>
    <row r="166" spans="5:18" ht="14.25" customHeight="1">
      <c r="E166" s="14" t="s">
        <v>80</v>
      </c>
      <c r="F166" s="2"/>
      <c r="G166" s="2"/>
      <c r="H166" s="4">
        <f>IFERROR(GetRTD(Rtd_Server,P166,StrField,TRIM(F166),TRIM(G166)),0)</f>
        <v>0</v>
      </c>
      <c r="I166" s="4">
        <f>IFERROR(GetRTD(Rtd_Server,P166,StrFieldATP,TRIM(F166),TRIM(G166)),0)</f>
        <v>0</v>
      </c>
      <c r="J166" s="20">
        <f>IFERROR(GetRTD(Rtd_Server,P166,StrFieldVol,TRIM(F166),TRIM(G166)),0)</f>
        <v>0</v>
      </c>
      <c r="K166" s="20">
        <f>IFERROR(GetRTD(Rtd_Server,P166,StrFieldOI,TRIM(F166),TRIM(G166)),0)</f>
        <v>0</v>
      </c>
      <c r="O166" s="4" t="str">
        <f t="shared" si="15"/>
        <v/>
      </c>
      <c r="P166" s="4" t="str">
        <f t="shared" si="17"/>
        <v/>
      </c>
      <c r="Q166" s="16" t="b">
        <f t="shared" si="18"/>
        <v>0</v>
      </c>
      <c r="R166" s="17">
        <f t="shared" si="16"/>
        <v>0</v>
      </c>
    </row>
    <row r="167" spans="5:18" ht="14.25" customHeight="1">
      <c r="E167" s="14" t="s">
        <v>80</v>
      </c>
      <c r="F167" s="2"/>
      <c r="G167" s="2"/>
      <c r="H167" s="4">
        <f>IFERROR(GetRTD(Rtd_Server,P167,StrField,TRIM(F167),TRIM(G167)),0)</f>
        <v>0</v>
      </c>
      <c r="I167" s="4">
        <f>IFERROR(GetRTD(Rtd_Server,P167,StrFieldATP,TRIM(F167),TRIM(G167)),0)</f>
        <v>0</v>
      </c>
      <c r="J167" s="20">
        <f>IFERROR(GetRTD(Rtd_Server,P167,StrFieldVol,TRIM(F167),TRIM(G167)),0)</f>
        <v>0</v>
      </c>
      <c r="K167" s="20">
        <f>IFERROR(GetRTD(Rtd_Server,P167,StrFieldOI,TRIM(F167),TRIM(G167)),0)</f>
        <v>0</v>
      </c>
      <c r="O167" s="4" t="str">
        <f t="shared" si="15"/>
        <v/>
      </c>
      <c r="P167" s="4" t="str">
        <f t="shared" si="17"/>
        <v/>
      </c>
      <c r="Q167" s="16" t="b">
        <f t="shared" si="18"/>
        <v>0</v>
      </c>
      <c r="R167" s="17">
        <f t="shared" si="16"/>
        <v>0</v>
      </c>
    </row>
    <row r="168" spans="5:18" ht="14.25" customHeight="1">
      <c r="E168" s="14" t="s">
        <v>80</v>
      </c>
      <c r="F168" s="2"/>
      <c r="G168" s="2"/>
      <c r="H168" s="4">
        <f>IFERROR(GetRTD(Rtd_Server,P168,StrField,TRIM(F168),TRIM(G168)),0)</f>
        <v>0</v>
      </c>
      <c r="I168" s="4">
        <f>IFERROR(GetRTD(Rtd_Server,P168,StrFieldATP,TRIM(F168),TRIM(G168)),0)</f>
        <v>0</v>
      </c>
      <c r="J168" s="20">
        <f>IFERROR(GetRTD(Rtd_Server,P168,StrFieldVol,TRIM(F168),TRIM(G168)),0)</f>
        <v>0</v>
      </c>
      <c r="K168" s="20">
        <f>IFERROR(GetRTD(Rtd_Server,P168,StrFieldOI,TRIM(F168),TRIM(G168)),0)</f>
        <v>0</v>
      </c>
      <c r="O168" s="4" t="str">
        <f t="shared" si="15"/>
        <v/>
      </c>
      <c r="P168" s="4" t="str">
        <f t="shared" si="17"/>
        <v/>
      </c>
      <c r="Q168" s="16" t="b">
        <f t="shared" si="18"/>
        <v>0</v>
      </c>
      <c r="R168" s="17">
        <f t="shared" si="16"/>
        <v>0</v>
      </c>
    </row>
    <row r="169" spans="5:18" ht="14.25" customHeight="1">
      <c r="E169" s="14" t="s">
        <v>80</v>
      </c>
      <c r="F169" s="2"/>
      <c r="G169" s="2"/>
      <c r="H169" s="4">
        <f>IFERROR(GetRTD(Rtd_Server,P169,StrField,TRIM(F169),TRIM(G169)),0)</f>
        <v>0</v>
      </c>
      <c r="I169" s="4">
        <f>IFERROR(GetRTD(Rtd_Server,P169,StrFieldATP,TRIM(F169),TRIM(G169)),0)</f>
        <v>0</v>
      </c>
      <c r="J169" s="20">
        <f>IFERROR(GetRTD(Rtd_Server,P169,StrFieldVol,TRIM(F169),TRIM(G169)),0)</f>
        <v>0</v>
      </c>
      <c r="K169" s="20">
        <f>IFERROR(GetRTD(Rtd_Server,P169,StrFieldOI,TRIM(F169),TRIM(G169)),0)</f>
        <v>0</v>
      </c>
      <c r="O169" s="4" t="str">
        <f t="shared" si="15"/>
        <v/>
      </c>
      <c r="P169" s="4" t="str">
        <f t="shared" si="17"/>
        <v/>
      </c>
      <c r="Q169" s="16" t="b">
        <f t="shared" si="18"/>
        <v>0</v>
      </c>
      <c r="R169" s="17">
        <f t="shared" si="16"/>
        <v>0</v>
      </c>
    </row>
    <row r="170" spans="5:18" ht="14.25" customHeight="1">
      <c r="E170" s="14" t="s">
        <v>80</v>
      </c>
      <c r="F170" s="2"/>
      <c r="G170" s="2"/>
      <c r="H170" s="4">
        <f>IFERROR(GetRTD(Rtd_Server,P170,StrField,TRIM(F170),TRIM(G170)),0)</f>
        <v>0</v>
      </c>
      <c r="I170" s="4">
        <f>IFERROR(GetRTD(Rtd_Server,P170,StrFieldATP,TRIM(F170),TRIM(G170)),0)</f>
        <v>0</v>
      </c>
      <c r="J170" s="20">
        <f>IFERROR(GetRTD(Rtd_Server,P170,StrFieldVol,TRIM(F170),TRIM(G170)),0)</f>
        <v>0</v>
      </c>
      <c r="K170" s="20">
        <f>IFERROR(GetRTD(Rtd_Server,P170,StrFieldOI,TRIM(F170),TRIM(G170)),0)</f>
        <v>0</v>
      </c>
      <c r="O170" s="4" t="str">
        <f t="shared" si="15"/>
        <v/>
      </c>
      <c r="P170" s="4" t="str">
        <f t="shared" si="17"/>
        <v/>
      </c>
      <c r="Q170" s="16" t="b">
        <f t="shared" si="18"/>
        <v>0</v>
      </c>
      <c r="R170" s="17">
        <f t="shared" si="16"/>
        <v>0</v>
      </c>
    </row>
    <row r="171" spans="5:18" ht="14.25" customHeight="1">
      <c r="E171" s="14" t="s">
        <v>80</v>
      </c>
      <c r="F171" s="2"/>
      <c r="G171" s="2"/>
      <c r="H171" s="4">
        <f>IFERROR(GetRTD(Rtd_Server,P171,StrField,TRIM(F171),TRIM(G171)),0)</f>
        <v>0</v>
      </c>
      <c r="I171" s="4">
        <f>IFERROR(GetRTD(Rtd_Server,P171,StrFieldATP,TRIM(F171),TRIM(G171)),0)</f>
        <v>0</v>
      </c>
      <c r="J171" s="20">
        <f>IFERROR(GetRTD(Rtd_Server,P171,StrFieldVol,TRIM(F171),TRIM(G171)),0)</f>
        <v>0</v>
      </c>
      <c r="K171" s="20">
        <f>IFERROR(GetRTD(Rtd_Server,P171,StrFieldOI,TRIM(F171),TRIM(G171)),0)</f>
        <v>0</v>
      </c>
      <c r="O171" s="4" t="str">
        <f t="shared" si="15"/>
        <v/>
      </c>
      <c r="P171" s="4" t="str">
        <f t="shared" si="17"/>
        <v/>
      </c>
      <c r="Q171" s="16" t="b">
        <f t="shared" si="18"/>
        <v>0</v>
      </c>
      <c r="R171" s="17">
        <f t="shared" si="16"/>
        <v>0</v>
      </c>
    </row>
    <row r="172" spans="5:18" ht="14.25" customHeight="1">
      <c r="E172" s="14" t="s">
        <v>80</v>
      </c>
      <c r="F172" s="2"/>
      <c r="G172" s="2"/>
      <c r="H172" s="4">
        <f>IFERROR(GetRTD(Rtd_Server,P172,StrField,TRIM(F172),TRIM(G172)),0)</f>
        <v>0</v>
      </c>
      <c r="I172" s="4">
        <f>IFERROR(GetRTD(Rtd_Server,P172,StrFieldATP,TRIM(F172),TRIM(G172)),0)</f>
        <v>0</v>
      </c>
      <c r="J172" s="20">
        <f>IFERROR(GetRTD(Rtd_Server,P172,StrFieldVol,TRIM(F172),TRIM(G172)),0)</f>
        <v>0</v>
      </c>
      <c r="K172" s="20">
        <f>IFERROR(GetRTD(Rtd_Server,P172,StrFieldOI,TRIM(F172),TRIM(G172)),0)</f>
        <v>0</v>
      </c>
      <c r="O172" s="4" t="str">
        <f t="shared" si="15"/>
        <v/>
      </c>
      <c r="P172" s="4" t="str">
        <f t="shared" si="17"/>
        <v/>
      </c>
      <c r="Q172" s="16" t="b">
        <f t="shared" si="18"/>
        <v>0</v>
      </c>
      <c r="R172" s="17">
        <f t="shared" si="16"/>
        <v>0</v>
      </c>
    </row>
    <row r="173" spans="5:18" ht="14.25" customHeight="1">
      <c r="E173" s="14" t="s">
        <v>80</v>
      </c>
      <c r="F173" s="2"/>
      <c r="G173" s="2"/>
      <c r="H173" s="4">
        <f>IFERROR(GetRTD(Rtd_Server,P173,StrField,TRIM(F173),TRIM(G173)),0)</f>
        <v>0</v>
      </c>
      <c r="I173" s="4">
        <f>IFERROR(GetRTD(Rtd_Server,P173,StrFieldATP,TRIM(F173),TRIM(G173)),0)</f>
        <v>0</v>
      </c>
      <c r="J173" s="20">
        <f>IFERROR(GetRTD(Rtd_Server,P173,StrFieldVol,TRIM(F173),TRIM(G173)),0)</f>
        <v>0</v>
      </c>
      <c r="K173" s="20">
        <f>IFERROR(GetRTD(Rtd_Server,P173,StrFieldOI,TRIM(F173),TRIM(G173)),0)</f>
        <v>0</v>
      </c>
      <c r="O173" s="4" t="str">
        <f t="shared" si="15"/>
        <v/>
      </c>
      <c r="P173" s="4" t="str">
        <f t="shared" si="17"/>
        <v/>
      </c>
      <c r="Q173" s="16" t="b">
        <f t="shared" si="18"/>
        <v>0</v>
      </c>
      <c r="R173" s="17">
        <f t="shared" si="16"/>
        <v>0</v>
      </c>
    </row>
    <row r="174" spans="5:18" ht="14.25" customHeight="1">
      <c r="E174" s="14" t="s">
        <v>80</v>
      </c>
      <c r="F174" s="2"/>
      <c r="G174" s="2"/>
      <c r="H174" s="4">
        <f>IFERROR(GetRTD(Rtd_Server,P174,StrField,TRIM(F174),TRIM(G174)),0)</f>
        <v>0</v>
      </c>
      <c r="I174" s="4">
        <f>IFERROR(GetRTD(Rtd_Server,P174,StrFieldATP,TRIM(F174),TRIM(G174)),0)</f>
        <v>0</v>
      </c>
      <c r="J174" s="20">
        <f>IFERROR(GetRTD(Rtd_Server,P174,StrFieldVol,TRIM(F174),TRIM(G174)),0)</f>
        <v>0</v>
      </c>
      <c r="K174" s="20">
        <f>IFERROR(GetRTD(Rtd_Server,P174,StrFieldOI,TRIM(F174),TRIM(G174)),0)</f>
        <v>0</v>
      </c>
      <c r="O174" s="4" t="str">
        <f t="shared" si="15"/>
        <v/>
      </c>
      <c r="P174" s="4" t="str">
        <f t="shared" si="17"/>
        <v/>
      </c>
      <c r="Q174" s="16" t="b">
        <f t="shared" si="18"/>
        <v>0</v>
      </c>
      <c r="R174" s="17">
        <f t="shared" si="16"/>
        <v>0</v>
      </c>
    </row>
    <row r="175" spans="5:18" ht="14.25" customHeight="1">
      <c r="E175" s="14" t="s">
        <v>80</v>
      </c>
      <c r="F175" s="2"/>
      <c r="G175" s="2"/>
      <c r="H175" s="4">
        <f>IFERROR(GetRTD(Rtd_Server,P175,StrField,TRIM(F175),TRIM(G175)),0)</f>
        <v>0</v>
      </c>
      <c r="I175" s="4">
        <f>IFERROR(GetRTD(Rtd_Server,P175,StrFieldATP,TRIM(F175),TRIM(G175)),0)</f>
        <v>0</v>
      </c>
      <c r="J175" s="20">
        <f>IFERROR(GetRTD(Rtd_Server,P175,StrFieldVol,TRIM(F175),TRIM(G175)),0)</f>
        <v>0</v>
      </c>
      <c r="K175" s="20">
        <f>IFERROR(GetRTD(Rtd_Server,P175,StrFieldOI,TRIM(F175),TRIM(G175)),0)</f>
        <v>0</v>
      </c>
      <c r="O175" s="4" t="str">
        <f t="shared" si="15"/>
        <v/>
      </c>
      <c r="P175" s="4" t="str">
        <f t="shared" si="17"/>
        <v/>
      </c>
      <c r="Q175" s="16" t="b">
        <f t="shared" si="18"/>
        <v>0</v>
      </c>
      <c r="R175" s="17">
        <f t="shared" si="16"/>
        <v>0</v>
      </c>
    </row>
    <row r="176" spans="5:18" ht="14.25" customHeight="1">
      <c r="E176" s="14" t="s">
        <v>80</v>
      </c>
      <c r="F176" s="2"/>
      <c r="G176" s="2"/>
      <c r="H176" s="4">
        <f>IFERROR(GetRTD(Rtd_Server,P176,StrField,TRIM(F176),TRIM(G176)),0)</f>
        <v>0</v>
      </c>
      <c r="I176" s="4">
        <f>IFERROR(GetRTD(Rtd_Server,P176,StrFieldATP,TRIM(F176),TRIM(G176)),0)</f>
        <v>0</v>
      </c>
      <c r="J176" s="20">
        <f>IFERROR(GetRTD(Rtd_Server,P176,StrFieldVol,TRIM(F176),TRIM(G176)),0)</f>
        <v>0</v>
      </c>
      <c r="K176" s="20">
        <f>IFERROR(GetRTD(Rtd_Server,P176,StrFieldOI,TRIM(F176),TRIM(G176)),0)</f>
        <v>0</v>
      </c>
      <c r="O176" s="4" t="str">
        <f t="shared" si="15"/>
        <v/>
      </c>
      <c r="P176" s="4" t="str">
        <f t="shared" si="17"/>
        <v/>
      </c>
      <c r="Q176" s="16" t="b">
        <f t="shared" si="18"/>
        <v>0</v>
      </c>
      <c r="R176" s="17">
        <f t="shared" si="16"/>
        <v>0</v>
      </c>
    </row>
    <row r="177" spans="5:18" ht="14.25" customHeight="1">
      <c r="E177" s="14" t="s">
        <v>80</v>
      </c>
      <c r="F177" s="2"/>
      <c r="G177" s="2"/>
      <c r="H177" s="4">
        <f>IFERROR(GetRTD(Rtd_Server,P177,StrField,TRIM(F177),TRIM(G177)),0)</f>
        <v>0</v>
      </c>
      <c r="I177" s="4">
        <f>IFERROR(GetRTD(Rtd_Server,P177,StrFieldATP,TRIM(F177),TRIM(G177)),0)</f>
        <v>0</v>
      </c>
      <c r="J177" s="20">
        <f>IFERROR(GetRTD(Rtd_Server,P177,StrFieldVol,TRIM(F177),TRIM(G177)),0)</f>
        <v>0</v>
      </c>
      <c r="K177" s="20">
        <f>IFERROR(GetRTD(Rtd_Server,P177,StrFieldOI,TRIM(F177),TRIM(G177)),0)</f>
        <v>0</v>
      </c>
      <c r="O177" s="4" t="str">
        <f t="shared" si="15"/>
        <v/>
      </c>
      <c r="P177" s="4" t="str">
        <f t="shared" si="17"/>
        <v/>
      </c>
      <c r="Q177" s="16" t="b">
        <f t="shared" si="18"/>
        <v>0</v>
      </c>
      <c r="R177" s="17">
        <f t="shared" si="16"/>
        <v>0</v>
      </c>
    </row>
    <row r="178" spans="5:18" ht="14.25" customHeight="1">
      <c r="E178" s="14" t="s">
        <v>80</v>
      </c>
      <c r="F178" s="2"/>
      <c r="G178" s="2"/>
      <c r="H178" s="4">
        <f>IFERROR(GetRTD(Rtd_Server,P178,StrField,TRIM(F178),TRIM(G178)),0)</f>
        <v>0</v>
      </c>
      <c r="I178" s="4">
        <f>IFERROR(GetRTD(Rtd_Server,P178,StrFieldATP,TRIM(F178),TRIM(G178)),0)</f>
        <v>0</v>
      </c>
      <c r="J178" s="20">
        <f>IFERROR(GetRTD(Rtd_Server,P178,StrFieldVol,TRIM(F178),TRIM(G178)),0)</f>
        <v>0</v>
      </c>
      <c r="K178" s="20">
        <f>IFERROR(GetRTD(Rtd_Server,P178,StrFieldOI,TRIM(F178),TRIM(G178)),0)</f>
        <v>0</v>
      </c>
      <c r="O178" s="4" t="str">
        <f t="shared" si="15"/>
        <v/>
      </c>
      <c r="P178" s="4" t="str">
        <f t="shared" si="17"/>
        <v/>
      </c>
      <c r="Q178" s="16" t="b">
        <f t="shared" si="18"/>
        <v>0</v>
      </c>
      <c r="R178" s="17">
        <f t="shared" si="16"/>
        <v>0</v>
      </c>
    </row>
    <row r="179" spans="5:18" ht="14.25" customHeight="1">
      <c r="E179" s="14" t="s">
        <v>80</v>
      </c>
      <c r="F179" s="2"/>
      <c r="G179" s="2"/>
      <c r="H179" s="4">
        <f>IFERROR(GetRTD(Rtd_Server,P179,StrField,TRIM(F179),TRIM(G179)),0)</f>
        <v>0</v>
      </c>
      <c r="I179" s="4">
        <f>IFERROR(GetRTD(Rtd_Server,P179,StrFieldATP,TRIM(F179),TRIM(G179)),0)</f>
        <v>0</v>
      </c>
      <c r="J179" s="20">
        <f>IFERROR(GetRTD(Rtd_Server,P179,StrFieldVol,TRIM(F179),TRIM(G179)),0)</f>
        <v>0</v>
      </c>
      <c r="K179" s="20">
        <f>IFERROR(GetRTD(Rtd_Server,P179,StrFieldOI,TRIM(F179),TRIM(G179)),0)</f>
        <v>0</v>
      </c>
      <c r="O179" s="4" t="str">
        <f t="shared" si="15"/>
        <v/>
      </c>
      <c r="P179" s="4" t="str">
        <f t="shared" si="17"/>
        <v/>
      </c>
      <c r="Q179" s="16" t="b">
        <f t="shared" si="18"/>
        <v>0</v>
      </c>
      <c r="R179" s="17">
        <f t="shared" si="16"/>
        <v>0</v>
      </c>
    </row>
    <row r="180" spans="5:18" ht="14.25" customHeight="1">
      <c r="E180" s="14" t="s">
        <v>80</v>
      </c>
      <c r="F180" s="2"/>
      <c r="G180" s="2"/>
      <c r="H180" s="4">
        <f>IFERROR(GetRTD(Rtd_Server,P180,StrField,TRIM(F180),TRIM(G180)),0)</f>
        <v>0</v>
      </c>
      <c r="I180" s="4">
        <f>IFERROR(GetRTD(Rtd_Server,P180,StrFieldATP,TRIM(F180),TRIM(G180)),0)</f>
        <v>0</v>
      </c>
      <c r="J180" s="20">
        <f>IFERROR(GetRTD(Rtd_Server,P180,StrFieldVol,TRIM(F180),TRIM(G180)),0)</f>
        <v>0</v>
      </c>
      <c r="K180" s="20">
        <f>IFERROR(GetRTD(Rtd_Server,P180,StrFieldOI,TRIM(F180),TRIM(G180)),0)</f>
        <v>0</v>
      </c>
      <c r="O180" s="4" t="str">
        <f t="shared" si="15"/>
        <v/>
      </c>
      <c r="P180" s="4" t="str">
        <f t="shared" si="17"/>
        <v/>
      </c>
      <c r="Q180" s="16" t="b">
        <f t="shared" si="18"/>
        <v>0</v>
      </c>
      <c r="R180" s="17">
        <f t="shared" si="16"/>
        <v>0</v>
      </c>
    </row>
    <row r="181" spans="5:18" ht="14.25" customHeight="1">
      <c r="E181" s="14" t="s">
        <v>80</v>
      </c>
      <c r="F181" s="2"/>
      <c r="G181" s="2"/>
      <c r="H181" s="4">
        <f>IFERROR(GetRTD(Rtd_Server,P181,StrField,TRIM(F181),TRIM(G181)),0)</f>
        <v>0</v>
      </c>
      <c r="I181" s="4">
        <f>IFERROR(GetRTD(Rtd_Server,P181,StrFieldATP,TRIM(F181),TRIM(G181)),0)</f>
        <v>0</v>
      </c>
      <c r="J181" s="20">
        <f>IFERROR(GetRTD(Rtd_Server,P181,StrFieldVol,TRIM(F181),TRIM(G181)),0)</f>
        <v>0</v>
      </c>
      <c r="K181" s="20">
        <f>IFERROR(GetRTD(Rtd_Server,P181,StrFieldOI,TRIM(F181),TRIM(G181)),0)</f>
        <v>0</v>
      </c>
      <c r="O181" s="4" t="str">
        <f t="shared" si="15"/>
        <v/>
      </c>
      <c r="P181" s="4" t="str">
        <f t="shared" si="17"/>
        <v/>
      </c>
      <c r="Q181" s="16" t="b">
        <f t="shared" si="18"/>
        <v>0</v>
      </c>
      <c r="R181" s="17">
        <f t="shared" si="16"/>
        <v>0</v>
      </c>
    </row>
    <row r="182" spans="5:18" ht="14.25" customHeight="1">
      <c r="E182" s="14" t="s">
        <v>80</v>
      </c>
      <c r="F182" s="2"/>
      <c r="G182" s="2"/>
      <c r="H182" s="4">
        <f>IFERROR(GetRTD(Rtd_Server,P182,StrField,TRIM(F182),TRIM(G182)),0)</f>
        <v>0</v>
      </c>
      <c r="I182" s="4">
        <f>IFERROR(GetRTD(Rtd_Server,P182,StrFieldATP,TRIM(F182),TRIM(G182)),0)</f>
        <v>0</v>
      </c>
      <c r="J182" s="20">
        <f>IFERROR(GetRTD(Rtd_Server,P182,StrFieldVol,TRIM(F182),TRIM(G182)),0)</f>
        <v>0</v>
      </c>
      <c r="K182" s="20">
        <f>IFERROR(GetRTD(Rtd_Server,P182,StrFieldOI,TRIM(F182),TRIM(G182)),0)</f>
        <v>0</v>
      </c>
      <c r="O182" s="4" t="str">
        <f t="shared" si="15"/>
        <v/>
      </c>
      <c r="P182" s="4" t="str">
        <f t="shared" si="17"/>
        <v/>
      </c>
      <c r="Q182" s="16" t="b">
        <f t="shared" si="18"/>
        <v>0</v>
      </c>
      <c r="R182" s="17">
        <f t="shared" si="16"/>
        <v>0</v>
      </c>
    </row>
    <row r="183" spans="5:18" ht="14.25" customHeight="1">
      <c r="E183" s="14" t="s">
        <v>80</v>
      </c>
      <c r="F183" s="2"/>
      <c r="G183" s="2"/>
      <c r="H183" s="4">
        <f>IFERROR(GetRTD(Rtd_Server,P183,StrField,TRIM(F183),TRIM(G183)),0)</f>
        <v>0</v>
      </c>
      <c r="I183" s="4">
        <f>IFERROR(GetRTD(Rtd_Server,P183,StrFieldATP,TRIM(F183),TRIM(G183)),0)</f>
        <v>0</v>
      </c>
      <c r="J183" s="20">
        <f>IFERROR(GetRTD(Rtd_Server,P183,StrFieldVol,TRIM(F183),TRIM(G183)),0)</f>
        <v>0</v>
      </c>
      <c r="K183" s="20">
        <f>IFERROR(GetRTD(Rtd_Server,P183,StrFieldOI,TRIM(F183),TRIM(G183)),0)</f>
        <v>0</v>
      </c>
      <c r="O183" s="4" t="str">
        <f t="shared" si="15"/>
        <v/>
      </c>
      <c r="P183" s="4" t="str">
        <f t="shared" si="17"/>
        <v/>
      </c>
      <c r="Q183" s="16" t="b">
        <f t="shared" si="18"/>
        <v>0</v>
      </c>
      <c r="R183" s="17">
        <f t="shared" si="16"/>
        <v>0</v>
      </c>
    </row>
    <row r="184" spans="5:18" ht="14.25" customHeight="1">
      <c r="E184" s="14" t="s">
        <v>80</v>
      </c>
      <c r="F184" s="2"/>
      <c r="G184" s="2"/>
      <c r="H184" s="4">
        <f>IFERROR(GetRTD(Rtd_Server,P184,StrField,TRIM(F184),TRIM(G184)),0)</f>
        <v>0</v>
      </c>
      <c r="I184" s="4">
        <f>IFERROR(GetRTD(Rtd_Server,P184,StrFieldATP,TRIM(F184),TRIM(G184)),0)</f>
        <v>0</v>
      </c>
      <c r="J184" s="20">
        <f>IFERROR(GetRTD(Rtd_Server,P184,StrFieldVol,TRIM(F184),TRIM(G184)),0)</f>
        <v>0</v>
      </c>
      <c r="K184" s="20">
        <f>IFERROR(GetRTD(Rtd_Server,P184,StrFieldOI,TRIM(F184),TRIM(G184)),0)</f>
        <v>0</v>
      </c>
      <c r="O184" s="4" t="str">
        <f t="shared" si="15"/>
        <v/>
      </c>
      <c r="P184" s="4" t="str">
        <f t="shared" si="17"/>
        <v/>
      </c>
      <c r="Q184" s="16" t="b">
        <f t="shared" si="18"/>
        <v>0</v>
      </c>
      <c r="R184" s="17">
        <f t="shared" si="16"/>
        <v>0</v>
      </c>
    </row>
    <row r="185" spans="5:18" ht="14.25" customHeight="1">
      <c r="E185" s="14" t="s">
        <v>80</v>
      </c>
      <c r="F185" s="2"/>
      <c r="G185" s="2"/>
      <c r="H185" s="4">
        <f>IFERROR(GetRTD(Rtd_Server,P185,StrField,TRIM(F185),TRIM(G185)),0)</f>
        <v>0</v>
      </c>
      <c r="I185" s="4">
        <f>IFERROR(GetRTD(Rtd_Server,P185,StrFieldATP,TRIM(F185),TRIM(G185)),0)</f>
        <v>0</v>
      </c>
      <c r="J185" s="20">
        <f>IFERROR(GetRTD(Rtd_Server,P185,StrFieldVol,TRIM(F185),TRIM(G185)),0)</f>
        <v>0</v>
      </c>
      <c r="K185" s="20">
        <f>IFERROR(GetRTD(Rtd_Server,P185,StrFieldOI,TRIM(F185),TRIM(G185)),0)</f>
        <v>0</v>
      </c>
      <c r="O185" s="4" t="str">
        <f t="shared" si="15"/>
        <v/>
      </c>
      <c r="P185" s="4" t="str">
        <f t="shared" si="17"/>
        <v/>
      </c>
      <c r="Q185" s="16" t="b">
        <f t="shared" si="18"/>
        <v>0</v>
      </c>
      <c r="R185" s="17">
        <f t="shared" si="16"/>
        <v>0</v>
      </c>
    </row>
    <row r="186" spans="5:18" ht="14.25" customHeight="1">
      <c r="E186" s="14" t="s">
        <v>80</v>
      </c>
      <c r="F186" s="2"/>
      <c r="G186" s="2"/>
      <c r="H186" s="4">
        <f>IFERROR(GetRTD(Rtd_Server,P186,StrField,TRIM(F186),TRIM(G186)),0)</f>
        <v>0</v>
      </c>
      <c r="I186" s="4">
        <f>IFERROR(GetRTD(Rtd_Server,P186,StrFieldATP,TRIM(F186),TRIM(G186)),0)</f>
        <v>0</v>
      </c>
      <c r="J186" s="20">
        <f>IFERROR(GetRTD(Rtd_Server,P186,StrFieldVol,TRIM(F186),TRIM(G186)),0)</f>
        <v>0</v>
      </c>
      <c r="K186" s="20">
        <f>IFERROR(GetRTD(Rtd_Server,P186,StrFieldOI,TRIM(F186),TRIM(G186)),0)</f>
        <v>0</v>
      </c>
      <c r="O186" s="4" t="str">
        <f t="shared" si="15"/>
        <v/>
      </c>
      <c r="P186" s="4" t="str">
        <f t="shared" si="17"/>
        <v/>
      </c>
      <c r="Q186" s="16" t="b">
        <f t="shared" si="18"/>
        <v>0</v>
      </c>
      <c r="R186" s="17">
        <f t="shared" si="16"/>
        <v>0</v>
      </c>
    </row>
    <row r="187" spans="5:18" ht="14.25" customHeight="1">
      <c r="E187" s="14" t="s">
        <v>80</v>
      </c>
      <c r="F187" s="2"/>
      <c r="G187" s="2"/>
      <c r="H187" s="4">
        <f>IFERROR(GetRTD(Rtd_Server,P187,StrField,TRIM(F187),TRIM(G187)),0)</f>
        <v>0</v>
      </c>
      <c r="I187" s="4">
        <f>IFERROR(GetRTD(Rtd_Server,P187,StrFieldATP,TRIM(F187),TRIM(G187)),0)</f>
        <v>0</v>
      </c>
      <c r="J187" s="20">
        <f>IFERROR(GetRTD(Rtd_Server,P187,StrFieldVol,TRIM(F187),TRIM(G187)),0)</f>
        <v>0</v>
      </c>
      <c r="K187" s="20">
        <f>IFERROR(GetRTD(Rtd_Server,P187,StrFieldOI,TRIM(F187),TRIM(G187)),0)</f>
        <v>0</v>
      </c>
      <c r="O187" s="4" t="str">
        <f t="shared" si="15"/>
        <v/>
      </c>
      <c r="P187" s="4" t="str">
        <f t="shared" si="17"/>
        <v/>
      </c>
      <c r="Q187" s="16" t="b">
        <f t="shared" si="18"/>
        <v>0</v>
      </c>
      <c r="R187" s="17">
        <f t="shared" si="16"/>
        <v>0</v>
      </c>
    </row>
    <row r="188" spans="5:18" ht="14.25" customHeight="1">
      <c r="E188" s="14" t="s">
        <v>80</v>
      </c>
      <c r="F188" s="2"/>
      <c r="G188" s="2"/>
      <c r="H188" s="4">
        <f>IFERROR(GetRTD(Rtd_Server,P188,StrField,TRIM(F188),TRIM(G188)),0)</f>
        <v>0</v>
      </c>
      <c r="I188" s="4">
        <f>IFERROR(GetRTD(Rtd_Server,P188,StrFieldATP,TRIM(F188),TRIM(G188)),0)</f>
        <v>0</v>
      </c>
      <c r="J188" s="20">
        <f>IFERROR(GetRTD(Rtd_Server,P188,StrFieldVol,TRIM(F188),TRIM(G188)),0)</f>
        <v>0</v>
      </c>
      <c r="K188" s="20">
        <f>IFERROR(GetRTD(Rtd_Server,P188,StrFieldOI,TRIM(F188),TRIM(G188)),0)</f>
        <v>0</v>
      </c>
      <c r="O188" s="4" t="str">
        <f t="shared" si="15"/>
        <v/>
      </c>
      <c r="P188" s="4" t="str">
        <f t="shared" si="17"/>
        <v/>
      </c>
      <c r="Q188" s="16" t="b">
        <f t="shared" si="18"/>
        <v>0</v>
      </c>
      <c r="R188" s="17">
        <f t="shared" si="16"/>
        <v>0</v>
      </c>
    </row>
    <row r="189" spans="5:18" ht="14.25" customHeight="1">
      <c r="E189" s="14" t="s">
        <v>80</v>
      </c>
      <c r="F189" s="2"/>
      <c r="G189" s="2"/>
      <c r="H189" s="4">
        <f>IFERROR(GetRTD(Rtd_Server,P189,StrField,TRIM(F189),TRIM(G189)),0)</f>
        <v>0</v>
      </c>
      <c r="I189" s="4">
        <f>IFERROR(GetRTD(Rtd_Server,P189,StrFieldATP,TRIM(F189),TRIM(G189)),0)</f>
        <v>0</v>
      </c>
      <c r="J189" s="20">
        <f>IFERROR(GetRTD(Rtd_Server,P189,StrFieldVol,TRIM(F189),TRIM(G189)),0)</f>
        <v>0</v>
      </c>
      <c r="K189" s="20">
        <f>IFERROR(GetRTD(Rtd_Server,P189,StrFieldOI,TRIM(F189),TRIM(G189)),0)</f>
        <v>0</v>
      </c>
      <c r="O189" s="4" t="str">
        <f t="shared" si="15"/>
        <v/>
      </c>
      <c r="P189" s="4" t="str">
        <f t="shared" si="17"/>
        <v/>
      </c>
      <c r="Q189" s="16" t="b">
        <f t="shared" si="18"/>
        <v>0</v>
      </c>
      <c r="R189" s="17">
        <f t="shared" si="16"/>
        <v>0</v>
      </c>
    </row>
    <row r="190" spans="5:18" ht="14.25" customHeight="1">
      <c r="E190" s="14" t="s">
        <v>80</v>
      </c>
      <c r="F190" s="2"/>
      <c r="G190" s="2"/>
      <c r="H190" s="4">
        <f>IFERROR(GetRTD(Rtd_Server,P190,StrField,TRIM(F190),TRIM(G190)),0)</f>
        <v>0</v>
      </c>
      <c r="I190" s="4">
        <f>IFERROR(GetRTD(Rtd_Server,P190,StrFieldATP,TRIM(F190),TRIM(G190)),0)</f>
        <v>0</v>
      </c>
      <c r="J190" s="20">
        <f>IFERROR(GetRTD(Rtd_Server,P190,StrFieldVol,TRIM(F190),TRIM(G190)),0)</f>
        <v>0</v>
      </c>
      <c r="K190" s="20">
        <f>IFERROR(GetRTD(Rtd_Server,P190,StrFieldOI,TRIM(F190),TRIM(G190)),0)</f>
        <v>0</v>
      </c>
      <c r="O190" s="4" t="str">
        <f t="shared" si="15"/>
        <v/>
      </c>
      <c r="P190" s="4" t="str">
        <f t="shared" si="17"/>
        <v/>
      </c>
      <c r="Q190" s="16" t="b">
        <f t="shared" si="18"/>
        <v>0</v>
      </c>
      <c r="R190" s="17">
        <f t="shared" si="16"/>
        <v>0</v>
      </c>
    </row>
    <row r="191" spans="5:18" ht="14.25" customHeight="1">
      <c r="E191" s="14" t="s">
        <v>80</v>
      </c>
      <c r="F191" s="2"/>
      <c r="G191" s="2"/>
      <c r="H191" s="4">
        <f>IFERROR(GetRTD(Rtd_Server,P191,StrField,TRIM(F191),TRIM(G191)),0)</f>
        <v>0</v>
      </c>
      <c r="I191" s="4">
        <f>IFERROR(GetRTD(Rtd_Server,P191,StrFieldATP,TRIM(F191),TRIM(G191)),0)</f>
        <v>0</v>
      </c>
      <c r="J191" s="20">
        <f>IFERROR(GetRTD(Rtd_Server,P191,StrFieldVol,TRIM(F191),TRIM(G191)),0)</f>
        <v>0</v>
      </c>
      <c r="K191" s="20">
        <f>IFERROR(GetRTD(Rtd_Server,P191,StrFieldOI,TRIM(F191),TRIM(G191)),0)</f>
        <v>0</v>
      </c>
      <c r="O191" s="4" t="str">
        <f t="shared" si="15"/>
        <v/>
      </c>
      <c r="P191" s="4" t="str">
        <f t="shared" si="17"/>
        <v/>
      </c>
      <c r="Q191" s="16" t="b">
        <f t="shared" si="18"/>
        <v>0</v>
      </c>
      <c r="R191" s="17">
        <f t="shared" si="16"/>
        <v>0</v>
      </c>
    </row>
    <row r="192" spans="5:18" ht="14.25" customHeight="1">
      <c r="E192" s="14" t="s">
        <v>80</v>
      </c>
      <c r="F192" s="2"/>
      <c r="G192" s="2"/>
      <c r="H192" s="4">
        <f>IFERROR(GetRTD(Rtd_Server,P192,StrField,TRIM(F192),TRIM(G192)),0)</f>
        <v>0</v>
      </c>
      <c r="I192" s="4">
        <f>IFERROR(GetRTD(Rtd_Server,P192,StrFieldATP,TRIM(F192),TRIM(G192)),0)</f>
        <v>0</v>
      </c>
      <c r="J192" s="20">
        <f>IFERROR(GetRTD(Rtd_Server,P192,StrFieldVol,TRIM(F192),TRIM(G192)),0)</f>
        <v>0</v>
      </c>
      <c r="K192" s="20">
        <f>IFERROR(GetRTD(Rtd_Server,P192,StrFieldOI,TRIM(F192),TRIM(G192)),0)</f>
        <v>0</v>
      </c>
      <c r="O192" s="4" t="str">
        <f t="shared" si="15"/>
        <v/>
      </c>
      <c r="P192" s="4" t="str">
        <f t="shared" si="17"/>
        <v/>
      </c>
      <c r="Q192" s="16" t="b">
        <f t="shared" si="18"/>
        <v>0</v>
      </c>
      <c r="R192" s="17">
        <f t="shared" si="16"/>
        <v>0</v>
      </c>
    </row>
    <row r="193" spans="5:18" ht="14.25" customHeight="1">
      <c r="E193" s="14" t="s">
        <v>80</v>
      </c>
      <c r="F193" s="2"/>
      <c r="G193" s="2"/>
      <c r="H193" s="4">
        <f>IFERROR(GetRTD(Rtd_Server,P193,StrField,TRIM(F193),TRIM(G193)),0)</f>
        <v>0</v>
      </c>
      <c r="I193" s="4">
        <f>IFERROR(GetRTD(Rtd_Server,P193,StrFieldATP,TRIM(F193),TRIM(G193)),0)</f>
        <v>0</v>
      </c>
      <c r="J193" s="20">
        <f>IFERROR(GetRTD(Rtd_Server,P193,StrFieldVol,TRIM(F193),TRIM(G193)),0)</f>
        <v>0</v>
      </c>
      <c r="K193" s="20">
        <f>IFERROR(GetRTD(Rtd_Server,P193,StrFieldOI,TRIM(F193),TRIM(G193)),0)</f>
        <v>0</v>
      </c>
      <c r="O193" s="4" t="str">
        <f t="shared" si="15"/>
        <v/>
      </c>
      <c r="P193" s="4" t="str">
        <f t="shared" si="17"/>
        <v/>
      </c>
      <c r="Q193" s="16" t="b">
        <f t="shared" si="18"/>
        <v>0</v>
      </c>
      <c r="R193" s="17">
        <f t="shared" si="16"/>
        <v>0</v>
      </c>
    </row>
    <row r="194" spans="5:18" ht="14.25" customHeight="1">
      <c r="E194" s="14" t="s">
        <v>80</v>
      </c>
      <c r="F194" s="2"/>
      <c r="G194" s="2"/>
      <c r="H194" s="4">
        <f>IFERROR(GetRTD(Rtd_Server,P194,StrField,TRIM(F194),TRIM(G194)),0)</f>
        <v>0</v>
      </c>
      <c r="I194" s="4">
        <f>IFERROR(GetRTD(Rtd_Server,P194,StrFieldATP,TRIM(F194),TRIM(G194)),0)</f>
        <v>0</v>
      </c>
      <c r="J194" s="20">
        <f>IFERROR(GetRTD(Rtd_Server,P194,StrFieldVol,TRIM(F194),TRIM(G194)),0)</f>
        <v>0</v>
      </c>
      <c r="K194" s="20">
        <f>IFERROR(GetRTD(Rtd_Server,P194,StrFieldOI,TRIM(F194),TRIM(G194)),0)</f>
        <v>0</v>
      </c>
      <c r="O194" s="4" t="str">
        <f t="shared" si="15"/>
        <v/>
      </c>
      <c r="P194" s="4" t="str">
        <f t="shared" ref="P194:P201" si="19">IF(OR(F194="",G194=""),"",O194&amp;Seperator&amp;UPPER(G194))</f>
        <v/>
      </c>
      <c r="Q194" s="16" t="b">
        <f t="shared" ref="Q194:Q201" si="20">LogValue(G194, Field, H194, I194, J194, K194)</f>
        <v>0</v>
      </c>
      <c r="R194" s="17">
        <f t="shared" si="16"/>
        <v>0</v>
      </c>
    </row>
    <row r="195" spans="5:18" ht="14.25" customHeight="1">
      <c r="E195" s="14" t="s">
        <v>80</v>
      </c>
      <c r="F195" s="2"/>
      <c r="G195" s="2"/>
      <c r="H195" s="4">
        <f>IFERROR(GetRTD(Rtd_Server,P195,StrField,TRIM(F195),TRIM(G195)),0)</f>
        <v>0</v>
      </c>
      <c r="I195" s="4">
        <f>IFERROR(GetRTD(Rtd_Server,P195,StrFieldATP,TRIM(F195),TRIM(G195)),0)</f>
        <v>0</v>
      </c>
      <c r="J195" s="20">
        <f>IFERROR(GetRTD(Rtd_Server,P195,StrFieldVol,TRIM(F195),TRIM(G195)),0)</f>
        <v>0</v>
      </c>
      <c r="K195" s="20">
        <f>IFERROR(GetRTD(Rtd_Server,P195,StrFieldOI,TRIM(F195),TRIM(G195)),0)</f>
        <v>0</v>
      </c>
      <c r="O195" s="4" t="str">
        <f t="shared" ref="O195:O201" si="21">IFERROR(IF(Terminal="PI",VLOOKUP(F195,RevExch_Table,2,FALSE),IF(Terminal="NEST",VLOOKUP(F195,RevExch_Table,3,FALSE),VLOOKUP(F195,RevExch_Table,4,FALSE))),"")</f>
        <v/>
      </c>
      <c r="P195" s="4" t="str">
        <f t="shared" si="19"/>
        <v/>
      </c>
      <c r="Q195" s="16" t="b">
        <f t="shared" si="20"/>
        <v>0</v>
      </c>
      <c r="R195" s="17">
        <f t="shared" ref="R195:R201" si="22">GetValueColor(G195,H195,"Ltp")</f>
        <v>0</v>
      </c>
    </row>
    <row r="196" spans="5:18" ht="14.25" customHeight="1">
      <c r="E196" s="14" t="s">
        <v>80</v>
      </c>
      <c r="F196" s="2"/>
      <c r="G196" s="2"/>
      <c r="H196" s="4">
        <f>IFERROR(GetRTD(Rtd_Server,P196,StrField,TRIM(F196),TRIM(G196)),0)</f>
        <v>0</v>
      </c>
      <c r="I196" s="4">
        <f>IFERROR(GetRTD(Rtd_Server,P196,StrFieldATP,TRIM(F196),TRIM(G196)),0)</f>
        <v>0</v>
      </c>
      <c r="J196" s="20">
        <f>IFERROR(GetRTD(Rtd_Server,P196,StrFieldVol,TRIM(F196),TRIM(G196)),0)</f>
        <v>0</v>
      </c>
      <c r="K196" s="20">
        <f>IFERROR(GetRTD(Rtd_Server,P196,StrFieldOI,TRIM(F196),TRIM(G196)),0)</f>
        <v>0</v>
      </c>
      <c r="O196" s="4" t="str">
        <f t="shared" si="21"/>
        <v/>
      </c>
      <c r="P196" s="4" t="str">
        <f t="shared" si="19"/>
        <v/>
      </c>
      <c r="Q196" s="16" t="b">
        <f t="shared" si="20"/>
        <v>0</v>
      </c>
      <c r="R196" s="17">
        <f t="shared" si="22"/>
        <v>0</v>
      </c>
    </row>
    <row r="197" spans="5:18" ht="14.25" customHeight="1">
      <c r="E197" s="14" t="s">
        <v>80</v>
      </c>
      <c r="F197" s="2"/>
      <c r="G197" s="2"/>
      <c r="H197" s="4">
        <f>IFERROR(GetRTD(Rtd_Server,P197,StrField,TRIM(F197),TRIM(G197)),0)</f>
        <v>0</v>
      </c>
      <c r="I197" s="4">
        <f>IFERROR(GetRTD(Rtd_Server,P197,StrFieldATP,TRIM(F197),TRIM(G197)),0)</f>
        <v>0</v>
      </c>
      <c r="J197" s="20">
        <f>IFERROR(GetRTD(Rtd_Server,P197,StrFieldVol,TRIM(F197),TRIM(G197)),0)</f>
        <v>0</v>
      </c>
      <c r="K197" s="20">
        <f>IFERROR(GetRTD(Rtd_Server,P197,StrFieldOI,TRIM(F197),TRIM(G197)),0)</f>
        <v>0</v>
      </c>
      <c r="O197" s="4" t="str">
        <f t="shared" si="21"/>
        <v/>
      </c>
      <c r="P197" s="4" t="str">
        <f t="shared" si="19"/>
        <v/>
      </c>
      <c r="Q197" s="16" t="b">
        <f t="shared" si="20"/>
        <v>0</v>
      </c>
      <c r="R197" s="17">
        <f t="shared" si="22"/>
        <v>0</v>
      </c>
    </row>
    <row r="198" spans="5:18" ht="14.25" customHeight="1">
      <c r="E198" s="14" t="s">
        <v>80</v>
      </c>
      <c r="F198" s="2"/>
      <c r="G198" s="2"/>
      <c r="H198" s="4">
        <f>IFERROR(GetRTD(Rtd_Server,P198,StrField,TRIM(F198),TRIM(G198)),0)</f>
        <v>0</v>
      </c>
      <c r="I198" s="4">
        <f>IFERROR(GetRTD(Rtd_Server,P198,StrFieldATP,TRIM(F198),TRIM(G198)),0)</f>
        <v>0</v>
      </c>
      <c r="J198" s="20">
        <f>IFERROR(GetRTD(Rtd_Server,P198,StrFieldVol,TRIM(F198),TRIM(G198)),0)</f>
        <v>0</v>
      </c>
      <c r="K198" s="20">
        <f>IFERROR(GetRTD(Rtd_Server,P198,StrFieldOI,TRIM(F198),TRIM(G198)),0)</f>
        <v>0</v>
      </c>
      <c r="O198" s="4" t="str">
        <f t="shared" si="21"/>
        <v/>
      </c>
      <c r="P198" s="4" t="str">
        <f t="shared" si="19"/>
        <v/>
      </c>
      <c r="Q198" s="16" t="b">
        <f t="shared" si="20"/>
        <v>0</v>
      </c>
      <c r="R198" s="17">
        <f t="shared" si="22"/>
        <v>0</v>
      </c>
    </row>
    <row r="199" spans="5:18" ht="14.25" customHeight="1">
      <c r="E199" s="14" t="s">
        <v>80</v>
      </c>
      <c r="F199" s="2"/>
      <c r="G199" s="2"/>
      <c r="H199" s="4">
        <f>IFERROR(GetRTD(Rtd_Server,P199,StrField,TRIM(F199),TRIM(G199)),0)</f>
        <v>0</v>
      </c>
      <c r="I199" s="4">
        <f>IFERROR(GetRTD(Rtd_Server,P199,StrFieldATP,TRIM(F199),TRIM(G199)),0)</f>
        <v>0</v>
      </c>
      <c r="J199" s="20">
        <f>IFERROR(GetRTD(Rtd_Server,P199,StrFieldVol,TRIM(F199),TRIM(G199)),0)</f>
        <v>0</v>
      </c>
      <c r="K199" s="20">
        <f>IFERROR(GetRTD(Rtd_Server,P199,StrFieldOI,TRIM(F199),TRIM(G199)),0)</f>
        <v>0</v>
      </c>
      <c r="O199" s="4" t="str">
        <f t="shared" si="21"/>
        <v/>
      </c>
      <c r="P199" s="4" t="str">
        <f t="shared" si="19"/>
        <v/>
      </c>
      <c r="Q199" s="16" t="b">
        <f t="shared" si="20"/>
        <v>0</v>
      </c>
      <c r="R199" s="17">
        <f t="shared" si="22"/>
        <v>0</v>
      </c>
    </row>
    <row r="200" spans="5:18" ht="14.25" customHeight="1">
      <c r="E200" s="14" t="s">
        <v>80</v>
      </c>
      <c r="F200" s="2"/>
      <c r="G200" s="2"/>
      <c r="H200" s="4">
        <f>IFERROR(GetRTD(Rtd_Server,P200,StrField,TRIM(F200),TRIM(G200)),0)</f>
        <v>0</v>
      </c>
      <c r="I200" s="4">
        <f>IFERROR(GetRTD(Rtd_Server,P200,StrFieldATP,TRIM(F200),TRIM(G200)),0)</f>
        <v>0</v>
      </c>
      <c r="J200" s="20">
        <f>IFERROR(GetRTD(Rtd_Server,P200,StrFieldVol,TRIM(F200),TRIM(G200)),0)</f>
        <v>0</v>
      </c>
      <c r="K200" s="20">
        <f>IFERROR(GetRTD(Rtd_Server,P200,StrFieldOI,TRIM(F200),TRIM(G200)),0)</f>
        <v>0</v>
      </c>
      <c r="O200" s="4" t="str">
        <f t="shared" si="21"/>
        <v/>
      </c>
      <c r="P200" s="4" t="str">
        <f t="shared" si="19"/>
        <v/>
      </c>
      <c r="Q200" s="16" t="b">
        <f t="shared" si="20"/>
        <v>0</v>
      </c>
      <c r="R200" s="17">
        <f t="shared" si="22"/>
        <v>0</v>
      </c>
    </row>
    <row r="201" spans="5:18" ht="14.25" customHeight="1">
      <c r="E201" s="14" t="s">
        <v>80</v>
      </c>
      <c r="F201" s="2"/>
      <c r="G201" s="2"/>
      <c r="H201" s="4">
        <f>IFERROR(GetRTD(Rtd_Server,P201,StrField,TRIM(F201),TRIM(G201)),0)</f>
        <v>0</v>
      </c>
      <c r="I201" s="4">
        <f>IFERROR(GetRTD(Rtd_Server,P201,StrFieldATP,TRIM(F201),TRIM(G201)),0)</f>
        <v>0</v>
      </c>
      <c r="J201" s="20">
        <f>IFERROR(GetRTD(Rtd_Server,P201,StrFieldVol,TRIM(F201),TRIM(G201)),0)</f>
        <v>0</v>
      </c>
      <c r="K201" s="20">
        <f>IFERROR(GetRTD(Rtd_Server,P201,StrFieldOI,TRIM(F201),TRIM(G201)),0)</f>
        <v>0</v>
      </c>
      <c r="O201" s="4" t="str">
        <f t="shared" si="21"/>
        <v/>
      </c>
      <c r="P201" s="4" t="str">
        <f t="shared" si="19"/>
        <v/>
      </c>
      <c r="Q201" s="16" t="b">
        <f t="shared" si="20"/>
        <v>0</v>
      </c>
      <c r="R201" s="17">
        <f t="shared" si="22"/>
        <v>0</v>
      </c>
    </row>
    <row r="202" spans="5:18" ht="14.25" customHeight="1"/>
  </sheetData>
  <mergeCells count="3">
    <mergeCell ref="B1:C1"/>
    <mergeCell ref="B5:C24"/>
    <mergeCell ref="L1:L17"/>
  </mergeCells>
  <conditionalFormatting sqref="H2:K201">
    <cfRule type="expression" dxfId="1" priority="18">
      <formula>R2=-1</formula>
    </cfRule>
    <cfRule type="expression" dxfId="0" priority="19">
      <formula>R2=1</formula>
    </cfRule>
  </conditionalFormatting>
  <dataValidations count="3">
    <dataValidation type="list" allowBlank="1" showInputMessage="1" showErrorMessage="1" errorTitle="You are wrong...!" error="Please select from the Dropdown..!" sqref="C3">
      <formula1>Field_List</formula1>
    </dataValidation>
    <dataValidation type="list" allowBlank="1" showInputMessage="1" showErrorMessage="1" sqref="F2:F201">
      <formula1>Exch_List</formula1>
    </dataValidation>
    <dataValidation type="list" allowBlank="1" showInputMessage="1" showErrorMessage="1" errorTitle="You are wrong...!" error="Please select from the Dropdown..!" sqref="C2">
      <formula1>Terminal_List</formula1>
    </dataValidation>
  </dataValidations>
  <hyperlinks>
    <hyperlink ref="L1" r:id="rId1"/>
  </hyperlinks>
  <pageMargins left="0.7" right="0.7" top="0.75" bottom="0.75" header="0.3" footer="0.3"/>
  <pageSetup paperSize="9"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N17"/>
  <sheetViews>
    <sheetView showGridLines="0" workbookViewId="0">
      <selection activeCell="G12" sqref="G12"/>
    </sheetView>
  </sheetViews>
  <sheetFormatPr defaultRowHeight="14.25"/>
  <cols>
    <col min="1" max="1" width="9.140625" style="9"/>
    <col min="2" max="2" width="12.5703125" style="9" customWidth="1"/>
    <col min="3" max="5" width="22.7109375" style="9" customWidth="1"/>
    <col min="6" max="6" width="9.140625" style="9"/>
    <col min="7" max="10" width="20" style="9" customWidth="1"/>
    <col min="11" max="11" width="8.85546875" style="9" customWidth="1"/>
    <col min="12" max="12" width="9.140625" style="9"/>
    <col min="13" max="13" width="20.42578125" style="9" customWidth="1"/>
    <col min="14" max="14" width="18.5703125" style="9" customWidth="1"/>
    <col min="15" max="16384" width="9.140625" style="9"/>
  </cols>
  <sheetData>
    <row r="1" spans="2:14">
      <c r="B1" s="10" t="s">
        <v>55</v>
      </c>
      <c r="C1" s="10" t="s">
        <v>21</v>
      </c>
      <c r="D1" s="10" t="s">
        <v>22</v>
      </c>
      <c r="E1" s="10" t="s">
        <v>23</v>
      </c>
      <c r="F1" s="8"/>
      <c r="G1" s="10" t="s">
        <v>47</v>
      </c>
      <c r="H1" s="10" t="s">
        <v>21</v>
      </c>
      <c r="I1" s="10" t="s">
        <v>22</v>
      </c>
      <c r="J1" s="10" t="s">
        <v>23</v>
      </c>
      <c r="K1" s="7"/>
      <c r="M1" s="10" t="s">
        <v>54</v>
      </c>
      <c r="N1" s="11" t="s">
        <v>64</v>
      </c>
    </row>
    <row r="2" spans="2:14">
      <c r="B2" s="11" t="s">
        <v>0</v>
      </c>
      <c r="C2" s="11" t="s">
        <v>10</v>
      </c>
      <c r="D2" s="11" t="s">
        <v>0</v>
      </c>
      <c r="E2" s="11" t="s">
        <v>34</v>
      </c>
      <c r="G2" s="11" t="s">
        <v>48</v>
      </c>
      <c r="H2" s="10" t="s">
        <v>48</v>
      </c>
      <c r="I2" s="10" t="s">
        <v>58</v>
      </c>
      <c r="J2" s="10" t="s">
        <v>58</v>
      </c>
      <c r="K2" s="7"/>
      <c r="M2" s="11" t="s">
        <v>21</v>
      </c>
      <c r="N2" s="11" t="s">
        <v>65</v>
      </c>
    </row>
    <row r="3" spans="2:14">
      <c r="B3" s="11" t="s">
        <v>68</v>
      </c>
      <c r="C3" s="11" t="s">
        <v>11</v>
      </c>
      <c r="D3" s="11" t="s">
        <v>24</v>
      </c>
      <c r="E3" s="11" t="s">
        <v>36</v>
      </c>
      <c r="G3" s="11" t="s">
        <v>49</v>
      </c>
      <c r="H3" s="10" t="s">
        <v>49</v>
      </c>
      <c r="I3" s="10" t="s">
        <v>59</v>
      </c>
      <c r="J3" s="10" t="s">
        <v>59</v>
      </c>
      <c r="K3" s="7"/>
      <c r="M3" s="11" t="s">
        <v>22</v>
      </c>
      <c r="N3" s="11" t="s">
        <v>66</v>
      </c>
    </row>
    <row r="4" spans="2:14">
      <c r="B4" s="11" t="s">
        <v>70</v>
      </c>
      <c r="C4" s="11" t="s">
        <v>13</v>
      </c>
      <c r="D4" s="11" t="s">
        <v>25</v>
      </c>
      <c r="E4" s="11" t="s">
        <v>38</v>
      </c>
      <c r="G4" s="11" t="s">
        <v>50</v>
      </c>
      <c r="H4" s="10" t="s">
        <v>50</v>
      </c>
      <c r="I4" s="10" t="s">
        <v>60</v>
      </c>
      <c r="J4" s="10" t="s">
        <v>60</v>
      </c>
      <c r="K4" s="7"/>
      <c r="M4" s="11" t="s">
        <v>23</v>
      </c>
      <c r="N4" s="11" t="s">
        <v>66</v>
      </c>
    </row>
    <row r="5" spans="2:14">
      <c r="B5" s="11" t="s">
        <v>4</v>
      </c>
      <c r="C5" s="18" t="s">
        <v>4</v>
      </c>
      <c r="D5" s="11" t="s">
        <v>4</v>
      </c>
      <c r="E5" s="11" t="s">
        <v>35</v>
      </c>
      <c r="G5" s="11" t="s">
        <v>51</v>
      </c>
      <c r="H5" s="10" t="s">
        <v>51</v>
      </c>
      <c r="I5" s="10" t="s">
        <v>61</v>
      </c>
      <c r="J5" s="10" t="s">
        <v>61</v>
      </c>
      <c r="K5" s="7"/>
    </row>
    <row r="6" spans="2:14">
      <c r="B6" s="11" t="s">
        <v>69</v>
      </c>
      <c r="C6" s="11" t="s">
        <v>12</v>
      </c>
      <c r="D6" s="11" t="s">
        <v>5</v>
      </c>
      <c r="E6" s="11" t="s">
        <v>37</v>
      </c>
      <c r="G6" s="11" t="s">
        <v>52</v>
      </c>
      <c r="H6" s="10" t="s">
        <v>52</v>
      </c>
      <c r="I6" s="10" t="s">
        <v>62</v>
      </c>
      <c r="J6" s="10" t="s">
        <v>62</v>
      </c>
      <c r="K6" s="7"/>
    </row>
    <row r="7" spans="2:14">
      <c r="B7" s="11" t="s">
        <v>71</v>
      </c>
      <c r="C7" s="19" t="s">
        <v>14</v>
      </c>
      <c r="D7" s="11" t="s">
        <v>6</v>
      </c>
      <c r="E7" s="11" t="s">
        <v>39</v>
      </c>
      <c r="G7" s="11" t="s">
        <v>53</v>
      </c>
      <c r="H7" s="10" t="s">
        <v>53</v>
      </c>
      <c r="I7" s="10" t="s">
        <v>63</v>
      </c>
      <c r="J7" s="10" t="s">
        <v>63</v>
      </c>
      <c r="K7" s="7"/>
    </row>
    <row r="8" spans="2:14">
      <c r="B8" s="11" t="s">
        <v>26</v>
      </c>
      <c r="C8" s="11" t="s">
        <v>15</v>
      </c>
      <c r="D8" s="11" t="s">
        <v>26</v>
      </c>
      <c r="E8" s="11" t="s">
        <v>26</v>
      </c>
    </row>
    <row r="9" spans="2:14">
      <c r="B9" s="11" t="s">
        <v>72</v>
      </c>
      <c r="C9" s="11" t="s">
        <v>3</v>
      </c>
      <c r="D9" s="11" t="s">
        <v>27</v>
      </c>
      <c r="E9" s="11" t="s">
        <v>27</v>
      </c>
    </row>
    <row r="10" spans="2:14">
      <c r="B10" s="11" t="s">
        <v>73</v>
      </c>
      <c r="C10" s="11" t="s">
        <v>16</v>
      </c>
      <c r="D10" s="11" t="s">
        <v>28</v>
      </c>
      <c r="E10" s="11" t="s">
        <v>40</v>
      </c>
    </row>
    <row r="11" spans="2:14">
      <c r="B11" s="11" t="s">
        <v>74</v>
      </c>
      <c r="C11" s="11" t="s">
        <v>17</v>
      </c>
      <c r="D11" s="11" t="s">
        <v>29</v>
      </c>
      <c r="E11" s="11" t="s">
        <v>41</v>
      </c>
    </row>
    <row r="12" spans="2:14">
      <c r="B12" s="11" t="s">
        <v>75</v>
      </c>
      <c r="C12" s="11" t="s">
        <v>7</v>
      </c>
      <c r="D12" s="11" t="s">
        <v>7</v>
      </c>
      <c r="E12" s="11" t="s">
        <v>7</v>
      </c>
    </row>
    <row r="13" spans="2:14">
      <c r="B13" s="11" t="s">
        <v>76</v>
      </c>
      <c r="C13" s="11" t="s">
        <v>1</v>
      </c>
      <c r="D13" s="11" t="s">
        <v>1</v>
      </c>
      <c r="E13" s="11" t="s">
        <v>42</v>
      </c>
    </row>
    <row r="14" spans="2:14">
      <c r="B14" s="11" t="s">
        <v>77</v>
      </c>
      <c r="C14" s="11" t="s">
        <v>2</v>
      </c>
      <c r="D14" s="11" t="s">
        <v>30</v>
      </c>
      <c r="E14" s="11" t="s">
        <v>43</v>
      </c>
    </row>
    <row r="15" spans="2:14">
      <c r="B15" s="11" t="s">
        <v>78</v>
      </c>
      <c r="C15" s="11" t="s">
        <v>18</v>
      </c>
      <c r="D15" s="11" t="s">
        <v>31</v>
      </c>
      <c r="E15" s="11" t="s">
        <v>44</v>
      </c>
    </row>
    <row r="16" spans="2:14">
      <c r="B16" s="11" t="s">
        <v>79</v>
      </c>
      <c r="C16" s="11" t="s">
        <v>19</v>
      </c>
      <c r="D16" s="11" t="s">
        <v>32</v>
      </c>
      <c r="E16" s="11" t="s">
        <v>32</v>
      </c>
    </row>
    <row r="17" spans="2:5">
      <c r="B17" s="11" t="s">
        <v>33</v>
      </c>
      <c r="C17" s="11" t="s">
        <v>20</v>
      </c>
      <c r="D17" s="11" t="s">
        <v>33</v>
      </c>
      <c r="E17" s="11" t="s">
        <v>8</v>
      </c>
    </row>
  </sheetData>
  <sheetProtection password="CC3D" sheet="1" objects="1" scenario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C2:C27"/>
  <sheetViews>
    <sheetView showGridLines="0" workbookViewId="0">
      <selection activeCell="D43" sqref="D43"/>
    </sheetView>
  </sheetViews>
  <sheetFormatPr defaultRowHeight="14.25"/>
  <cols>
    <col min="1" max="16384" width="9.140625" style="1"/>
  </cols>
  <sheetData>
    <row r="2" spans="3:3">
      <c r="C2" s="23" t="s">
        <v>88</v>
      </c>
    </row>
    <row r="4" spans="3:3">
      <c r="C4" s="1" t="s">
        <v>89</v>
      </c>
    </row>
    <row r="6" spans="3:3">
      <c r="C6" s="1" t="s">
        <v>85</v>
      </c>
    </row>
    <row r="7" spans="3:3">
      <c r="C7" s="22" t="s">
        <v>86</v>
      </c>
    </row>
    <row r="8" spans="3:3">
      <c r="C8" s="22" t="s">
        <v>87</v>
      </c>
    </row>
    <row r="9" spans="3:3">
      <c r="C9" s="22" t="s">
        <v>103</v>
      </c>
    </row>
    <row r="10" spans="3:3">
      <c r="C10" s="22" t="s">
        <v>104</v>
      </c>
    </row>
    <row r="11" spans="3:3">
      <c r="C11" s="22" t="s">
        <v>94</v>
      </c>
    </row>
    <row r="12" spans="3:3">
      <c r="C12" s="22"/>
    </row>
    <row r="13" spans="3:3">
      <c r="C13" s="1" t="s">
        <v>90</v>
      </c>
    </row>
    <row r="15" spans="3:3">
      <c r="C15" s="23" t="s">
        <v>91</v>
      </c>
    </row>
    <row r="16" spans="3:3">
      <c r="C16" s="1" t="s">
        <v>93</v>
      </c>
    </row>
    <row r="17" spans="3:3">
      <c r="C17" s="1" t="s">
        <v>92</v>
      </c>
    </row>
    <row r="18" spans="3:3">
      <c r="C18" s="1" t="s">
        <v>95</v>
      </c>
    </row>
    <row r="20" spans="3:3">
      <c r="C20" s="23" t="s">
        <v>96</v>
      </c>
    </row>
    <row r="21" spans="3:3">
      <c r="C21" s="1" t="s">
        <v>97</v>
      </c>
    </row>
    <row r="22" spans="3:3">
      <c r="C22" s="1" t="s">
        <v>98</v>
      </c>
    </row>
    <row r="23" spans="3:3">
      <c r="C23" s="1" t="s">
        <v>99</v>
      </c>
    </row>
    <row r="24" spans="3:3">
      <c r="C24" s="1" t="s">
        <v>100</v>
      </c>
    </row>
    <row r="25" spans="3:3">
      <c r="C25" s="1" t="s">
        <v>101</v>
      </c>
    </row>
    <row r="27" spans="3:3">
      <c r="C27" s="23" t="s">
        <v>102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Market_Watch</vt:lpstr>
      <vt:lpstr>Field_List</vt:lpstr>
      <vt:lpstr>Known_Issue_In_Pi</vt:lpstr>
      <vt:lpstr>Exch_List</vt:lpstr>
      <vt:lpstr>Field</vt:lpstr>
      <vt:lpstr>Field_List</vt:lpstr>
      <vt:lpstr>Field_List_Nest</vt:lpstr>
      <vt:lpstr>Field_List_Now</vt:lpstr>
      <vt:lpstr>Field_List_Pi</vt:lpstr>
      <vt:lpstr>Field_List_Table</vt:lpstr>
      <vt:lpstr>RevExch_Table</vt:lpstr>
      <vt:lpstr>Rtd_Server</vt:lpstr>
      <vt:lpstr>Seperator</vt:lpstr>
      <vt:lpstr>Seperator_table</vt:lpstr>
      <vt:lpstr>StrField</vt:lpstr>
      <vt:lpstr>StrFieldATP</vt:lpstr>
      <vt:lpstr>StrFieldOI</vt:lpstr>
      <vt:lpstr>StrFieldVol</vt:lpstr>
      <vt:lpstr>Terminal</vt:lpstr>
      <vt:lpstr>Terminal_List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Tech-PC</dc:creator>
  <cp:lastModifiedBy>Windows User</cp:lastModifiedBy>
  <dcterms:created xsi:type="dcterms:W3CDTF">2006-09-16T00:00:00Z</dcterms:created>
  <dcterms:modified xsi:type="dcterms:W3CDTF">2018-07-18T03:08:50Z</dcterms:modified>
</cp:coreProperties>
</file>